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ector Board" sheetId="1" state="visible" r:id="rId3"/>
    <sheet name="Deal Tracker" sheetId="2" state="visible" r:id="rId4"/>
    <sheet name="Dashboard" sheetId="3" state="visible" r:id="rId5"/>
    <sheet name="Reference Lists" sheetId="4" state="visible" r:id="rId6"/>
    <sheet name="Calc" sheetId="5" state="hidden" r:id="rId7"/>
  </sheets>
  <definedNames>
    <definedName function="false" hidden="true" localSheetId="1" name="_xlnm._FilterDatabase" vbProcedure="false">'Deal Tracker'!$A$1:$J$500</definedName>
    <definedName function="false" hidden="false" name="AgencyList" vbProcedure="false">'Reference Lists'!$F$5:$F$18</definedName>
    <definedName function="false" hidden="false" name="SectorList" vbProcedure="false">'Reference Lists'!$A$5:$A$13</definedName>
    <definedName function="false" hidden="false" name="StatusList" vbProcedure="false">'Reference Lists'!$C$5:$C$13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<sst xmlns="http://schemas.openxmlformats.org/spreadsheetml/2006/main" count="106" uniqueCount="78">
  <si>
    <t xml:space="preserve">U.S. INVESTMENT ACCELERATOR — DEAL PIPELINE</t>
  </si>
  <si>
    <t xml:space="preserve">By sector · This page updates automatically from the Deal Tracker tab — enter and edit deals there, never here.</t>
  </si>
  <si>
    <t xml:space="preserve">Nuclear</t>
  </si>
  <si>
    <t xml:space="preserve">Gas</t>
  </si>
  <si>
    <t xml:space="preserve">Oil &amp; Gas Midstream</t>
  </si>
  <si>
    <t xml:space="preserve">Ships</t>
  </si>
  <si>
    <t xml:space="preserve">Minerals &amp; Metals</t>
  </si>
  <si>
    <t xml:space="preserve">Pharma</t>
  </si>
  <si>
    <t xml:space="preserve">Semiconductors</t>
  </si>
  <si>
    <t xml:space="preserve">Advanced Manufacturing</t>
  </si>
  <si>
    <t xml:space="preserve">Chemicals</t>
  </si>
  <si>
    <t xml:space="preserve">Deal #</t>
  </si>
  <si>
    <t xml:space="preserve">Company Name</t>
  </si>
  <si>
    <t xml:space="preserve">Sector</t>
  </si>
  <si>
    <t xml:space="preserve">Deal Size ($M)</t>
  </si>
  <si>
    <t xml:space="preserve">Status</t>
  </si>
  <si>
    <t xml:space="preserve">Lead Agency</t>
  </si>
  <si>
    <t xml:space="preserve">Other Agencies</t>
  </si>
  <si>
    <t xml:space="preserve">Accelerator Lead</t>
  </si>
  <si>
    <t xml:space="preserve">Next Steps / Notes</t>
  </si>
  <si>
    <t xml:space="preserve">Last Updated</t>
  </si>
  <si>
    <t xml:space="preserve">001</t>
  </si>
  <si>
    <t xml:space="preserve">Example NuclearCo</t>
  </si>
  <si>
    <t xml:space="preserve">Diligence</t>
  </si>
  <si>
    <t xml:space="preserve">DOE</t>
  </si>
  <si>
    <t xml:space="preserve">NRC</t>
  </si>
  <si>
    <t xml:space="preserve">EXAMPLE ROW — delete before use. Site review call w/ DOE next week</t>
  </si>
  <si>
    <t xml:space="preserve">002</t>
  </si>
  <si>
    <t xml:space="preserve">Example ShipCo</t>
  </si>
  <si>
    <t xml:space="preserve">Agency Engagement</t>
  </si>
  <si>
    <t xml:space="preserve">DOW</t>
  </si>
  <si>
    <t xml:space="preserve">EXAMPLE ROW — delete before use. Awaiting DOW program office response</t>
  </si>
  <si>
    <t xml:space="preserve">003</t>
  </si>
  <si>
    <t xml:space="preserve">Example ChipCo</t>
  </si>
  <si>
    <t xml:space="preserve">Under Review</t>
  </si>
  <si>
    <t xml:space="preserve">EXAMPLE ROW — delete before use. Initial materials received</t>
  </si>
  <si>
    <t xml:space="preserve">DASHBOARD — PIPELINE SUMMARY</t>
  </si>
  <si>
    <t xml:space="preserve">Updates automatically from the Deal Tracker tab.</t>
  </si>
  <si>
    <t xml:space="preserve">PIPELINE BY SECTOR</t>
  </si>
  <si>
    <t xml:space="preserve">PIPELINE BY STATUS</t>
  </si>
  <si>
    <t xml:space="preserve">DEALS BY LEAD AGENCY</t>
  </si>
  <si>
    <t xml:space="preserve"># Deals</t>
  </si>
  <si>
    <t xml:space="preserve">Total ($M)</t>
  </si>
  <si>
    <t xml:space="preserve">Agency</t>
  </si>
  <si>
    <t xml:space="preserve">Total</t>
  </si>
  <si>
    <t xml:space="preserve">REFERENCE LISTS</t>
  </si>
  <si>
    <t xml:space="preserve">These lists power the dropdowns on the Deal Tracker. Edit them to customize the template.</t>
  </si>
  <si>
    <t xml:space="preserve">SECTORS</t>
  </si>
  <si>
    <t xml:space="preserve">DEAL STATUSES</t>
  </si>
  <si>
    <t xml:space="preserve">DEFINITION</t>
  </si>
  <si>
    <t xml:space="preserve">AGENCIES</t>
  </si>
  <si>
    <t xml:space="preserve">SECTOR</t>
  </si>
  <si>
    <t xml:space="preserve">TYPICAL AGENCIES</t>
  </si>
  <si>
    <t xml:space="preserve">Intake</t>
  </si>
  <si>
    <t xml:space="preserve">New deal, initial information gathering</t>
  </si>
  <si>
    <t xml:space="preserve">Accelerator evaluating the opportunity</t>
  </si>
  <si>
    <t xml:space="preserve">Coordinating with the relevant agencies</t>
  </si>
  <si>
    <t xml:space="preserve">Detailed review underway</t>
  </si>
  <si>
    <t xml:space="preserve">Negotiating Terms</t>
  </si>
  <si>
    <t xml:space="preserve">Structure and terms being negotiated</t>
  </si>
  <si>
    <t xml:space="preserve">Committed / Announced</t>
  </si>
  <si>
    <t xml:space="preserve">Deal agreed or publicly announced</t>
  </si>
  <si>
    <t xml:space="preserve">Closed</t>
  </si>
  <si>
    <t xml:space="preserve">Deal complete</t>
  </si>
  <si>
    <t xml:space="preserve">On Hold</t>
  </si>
  <si>
    <t xml:space="preserve">Paused</t>
  </si>
  <si>
    <t xml:space="preserve">Withdrawn</t>
  </si>
  <si>
    <t xml:space="preserve">No longer proceeding</t>
  </si>
  <si>
    <t xml:space="preserve">Add agencies in the blank slots above — they feed the Lead Agency dropdown automatically.</t>
  </si>
  <si>
    <t xml:space="preserve">HOW TO USE THIS TEMPLATE</t>
  </si>
  <si>
    <t xml:space="preserve">1.  Enter each deal as a row on the Deal Tracker tab. Sector, Status, and Lead Agency are dropdowns.</t>
  </si>
  <si>
    <t xml:space="preserve">2.  The Sector Board and Dashboard tabs fill in automatically — never type on those two tabs.</t>
  </si>
  <si>
    <t xml:space="preserve">3.  Three EXAMPLE rows (gray italic) are on the Deal Tracker — delete them before entering real deals.</t>
  </si>
  <si>
    <t xml:space="preserve">4.  Add your agencies in the AGENCIES list above, and fill in the Sector → Typical Agencies map as you go.</t>
  </si>
  <si>
    <t xml:space="preserve">5.  Deal sizes are entered in $ millions (a $2.5B deal is entered as 2500).</t>
  </si>
  <si>
    <t xml:space="preserve">Seq</t>
  </si>
  <si>
    <t xml:space="preserve">Key</t>
  </si>
  <si>
    <t xml:space="preserve">Display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</si>
</sst>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@"/>
    <numFmt numFmtId="166" formatCode="#,##0"/>
    <numFmt numFmtId="167" formatCode="mm/dd/yy"/>
  </numFmts>
  <fonts count="1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8"/>
      <color rgb="FF1F4E78"/>
      <name val="Arial"/>
      <family val="0"/>
      <charset val="1"/>
    </font>
    <font>
      <i val="true"/>
      <sz val="10"/>
      <color rgb="FF595959"/>
      <name val="Arial"/>
      <family val="0"/>
      <charset val="1"/>
    </font>
    <font>
      <b val="true"/>
      <sz val="12"/>
      <color rgb="FFFFFFFF"/>
      <name val="Arial"/>
      <family val="0"/>
      <charset val="1"/>
    </font>
    <font>
      <i val="true"/>
      <sz val="9"/>
      <color rgb="FF595959"/>
      <name val="Arial"/>
      <family val="0"/>
      <charset val="1"/>
    </font>
    <font>
      <sz val="1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i val="true"/>
      <sz val="10"/>
      <color rgb="FF808080"/>
      <name val="Arial"/>
      <family val="0"/>
      <charset val="1"/>
    </font>
    <font>
      <b val="true"/>
      <sz val="16"/>
      <color rgb="FF1F4E78"/>
      <name val="Arial"/>
      <family val="0"/>
      <charset val="1"/>
    </font>
    <font>
      <b val="true"/>
      <sz val="11"/>
      <color rgb="FF1F4E78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4"/>
      <color rgb="FF1F4E78"/>
      <name val="Arial"/>
      <family val="0"/>
      <charset val="1"/>
    </font>
    <font>
      <sz val="9"/>
      <color rgb="FF595959"/>
      <name val="Arial"/>
      <family val="0"/>
      <charset val="1"/>
    </font>
    <font>
      <sz val="10"/>
      <color rgb="FF000000"/>
      <name val="Arial"/>
      <family val="0"/>
      <charset val="1"/>
    </font>
  </fonts>
  <fills count="13">
    <fill>
      <patternFill patternType="none"/>
    </fill>
    <fill>
      <patternFill patternType="gray125"/>
    </fill>
    <fill>
      <patternFill patternType="solid">
        <fgColor rgb="FF1F4E78"/>
        <bgColor rgb="FF3E5C76"/>
      </patternFill>
    </fill>
    <fill>
      <patternFill patternType="solid">
        <fgColor rgb="FF2E6C6A"/>
        <bgColor rgb="FF2F6B3C"/>
      </patternFill>
    </fill>
    <fill>
      <patternFill patternType="solid">
        <fgColor rgb="FF8C6A20"/>
        <bgColor rgb="FF7A4A2B"/>
      </patternFill>
    </fill>
    <fill>
      <patternFill patternType="solid">
        <fgColor rgb="FFF7F7F7"/>
        <bgColor rgb="FFF2F6FA"/>
      </patternFill>
    </fill>
    <fill>
      <patternFill patternType="solid">
        <fgColor rgb="FF6E3A4F"/>
        <bgColor rgb="FF7A4A2B"/>
      </patternFill>
    </fill>
    <fill>
      <patternFill patternType="solid">
        <fgColor rgb="FF5C4A72"/>
        <bgColor rgb="FF595959"/>
      </patternFill>
    </fill>
    <fill>
      <patternFill patternType="solid">
        <fgColor rgb="FF2F6B3C"/>
        <bgColor rgb="FF4A6741"/>
      </patternFill>
    </fill>
    <fill>
      <patternFill patternType="solid">
        <fgColor rgb="FF3E5C76"/>
        <bgColor rgb="FF2E6C6A"/>
      </patternFill>
    </fill>
    <fill>
      <patternFill patternType="solid">
        <fgColor rgb="FF7A4A2B"/>
        <bgColor rgb="FF6E3A4F"/>
      </patternFill>
    </fill>
    <fill>
      <patternFill patternType="solid">
        <fgColor rgb="FF4A6741"/>
        <bgColor rgb="FF2F6B3C"/>
      </patternFill>
    </fill>
    <fill>
      <patternFill patternType="solid">
        <fgColor rgb="FFF2F6FA"/>
        <bgColor rgb="FFF7F7F7"/>
      </patternFill>
    </fill>
  </fills>
  <borders count="6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>
        <color rgb="FFBFBFBF"/>
      </left>
      <right style="thin">
        <color rgb="FFBFBFBF"/>
      </right>
      <top/>
      <bottom style="hair">
        <color rgb="FFD9D9D9"/>
      </bottom>
      <diagonal/>
    </border>
    <border diagonalUp="false" diagonalDown="false"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 diagonalUp="false" diagonalDown="false">
      <left/>
      <right/>
      <top/>
      <bottom style="hair">
        <color rgb="FFD9D9D9"/>
      </bottom>
      <diagonal/>
    </border>
    <border diagonalUp="false" diagonalDown="false">
      <left/>
      <right/>
      <top style="thin">
        <color rgb="FFBFBFBF"/>
      </top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5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2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4" fontId="7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9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1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11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10" fillId="0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4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10" fillId="0" borderId="4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0" fillId="0" borderId="4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7" fontId="10" fillId="0" borderId="4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8" fillId="0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4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8" fillId="0" borderId="4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8" fillId="0" borderId="4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7" fontId="8" fillId="0" borderId="4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8" fillId="12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12" borderId="4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8" fillId="12" borderId="4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8" fillId="12" borderId="4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7" fontId="8" fillId="12" borderId="4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2" borderId="0" xfId="0" applyFont="true" applyBorder="false" applyAlignment="true" applyProtection="false">
      <alignment horizontal="left" vertical="center" textRotation="0" wrapText="false" indent="1" shrinkToFit="false"/>
      <protection locked="true" hidden="false"/>
    </xf>
    <xf numFmtId="164" fontId="8" fillId="0" borderId="4" xfId="0" applyFont="true" applyBorder="true" applyAlignment="true" applyProtection="false">
      <alignment horizontal="general" vertical="bottom" textRotation="0" wrapText="false" indent="1" shrinkToFit="false"/>
      <protection locked="true" hidden="false"/>
    </xf>
    <xf numFmtId="166" fontId="8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3" fillId="0" borderId="5" xfId="0" applyFont="true" applyBorder="true" applyAlignment="true" applyProtection="false">
      <alignment horizontal="general" vertical="bottom" textRotation="0" wrapText="false" indent="1" shrinkToFit="false"/>
      <protection locked="true" hidden="false"/>
    </xf>
    <xf numFmtId="166" fontId="13" fillId="0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ill>
        <patternFill patternType="solid">
          <fgColor rgb="FF1F4E78"/>
          <bgColor rgb="FF000000"/>
        </patternFill>
      </fill>
    </dxf>
    <dxf>
      <fill>
        <patternFill patternType="solid">
          <fgColor rgb="FFF2F6FA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808080"/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2F6B3C"/>
      <rgbColor rgb="FF000080"/>
      <rgbColor rgb="FF8C6A20"/>
      <rgbColor rgb="FF800080"/>
      <rgbColor rgb="FF2E6C6A"/>
      <rgbColor rgb="FFBFBFBF"/>
      <rgbColor rgb="FF808080"/>
      <rgbColor rgb="FF9999FF"/>
      <rgbColor rgb="FF6E3A4F"/>
      <rgbColor rgb="FFF7F7F7"/>
      <rgbColor rgb="FFF2F6FA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3E5C76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4A6741"/>
      <rgbColor rgb="FF003300"/>
      <rgbColor rgb="FF333300"/>
      <rgbColor rgb="FF7A4A2B"/>
      <rgbColor rgb="FF993366"/>
      <rgbColor rgb="FF1F4E78"/>
      <rgbColor rgb="FF5C4A72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4E78"/>
    <pageSetUpPr fitToPage="true"/>
  </sheetPr>
  <dimension ref="B1:F4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44"/>
    <col collapsed="false" customWidth="true" hidden="false" outlineLevel="0" max="3" min="3" style="0" width="2"/>
    <col collapsed="false" customWidth="true" hidden="false" outlineLevel="0" max="4" min="4" style="0" width="44"/>
    <col collapsed="false" customWidth="true" hidden="false" outlineLevel="0" max="5" min="5" style="0" width="2"/>
    <col collapsed="false" customWidth="true" hidden="false" outlineLevel="0" max="6" min="6" style="0" width="44"/>
    <col collapsed="false" customWidth="true" hidden="false" outlineLevel="0" max="7" min="7" style="0" width="2"/>
  </cols>
  <sheetData>
    <row r="1" customFormat="false" ht="27.75" hidden="false" customHeight="true" outlineLevel="0" collapsed="false">
      <c r="B1" s="1" t="s">
        <v>0</v>
      </c>
      <c r="C1" s="1"/>
      <c r="D1" s="1"/>
      <c r="E1" s="1"/>
      <c r="F1" s="1"/>
    </row>
    <row r="2" customFormat="false" ht="15" hidden="false" customHeight="false" outlineLevel="0" collapsed="false">
      <c r="B2" s="2" t="s">
        <v>1</v>
      </c>
      <c r="C2" s="2"/>
      <c r="D2" s="2"/>
      <c r="E2" s="2"/>
      <c r="F2" s="2"/>
    </row>
    <row r="4" customFormat="false" ht="24" hidden="false" customHeight="true" outlineLevel="0" collapsed="false">
      <c r="B4" s="3" t="s">
        <v>2</v>
      </c>
      <c r="D4" s="4" t="s">
        <v>3</v>
      </c>
      <c r="F4" s="5" t="s">
        <v>4</v>
      </c>
    </row>
    <row r="5" customFormat="false" ht="15.75" hidden="false" customHeight="true" outlineLevel="0" collapsed="false">
      <c r="B5" s="6" t="str">
        <f aca="false">IF(COUNTIF('Deal Tracker'!$C$2:$C$500,$B$4)=0,"No deals yet",COUNTIF('Deal Tracker'!$C$2:$C$500,$B$4)&amp;IF(COUNTIF('Deal Tracker'!$C$2:$C$500,$B$4)=1," deal  ·  "," deals  ·  ")&amp;IF(SUMIF('Deal Tracker'!$C$2:$C$500,$B$4,'Deal Tracker'!$D$2:$D$500)&gt;=1000,"$"&amp;TEXT(SUMIF('Deal Tracker'!$C$2:$C$500,$B$4,'Deal Tracker'!$D$2:$D$500)/1000,"#,##0.0")&amp;"B","$"&amp;TEXT(SUMIF('Deal Tracker'!$C$2:$C$500,$B$4,'Deal Tracker'!$D$2:$D$500),"#,##0")&amp;"M"))</f>
        <v>1 deal  ·  $2.5B</v>
      </c>
      <c r="D5" s="6" t="str">
        <f aca="false">IF(COUNTIF('Deal Tracker'!$C$2:$C$500,$D$4)=0,"No deals yet",COUNTIF('Deal Tracker'!$C$2:$C$500,$D$4)&amp;IF(COUNTIF('Deal Tracker'!$C$2:$C$500,$D$4)=1," deal  ·  "," deals  ·  ")&amp;IF(SUMIF('Deal Tracker'!$C$2:$C$500,$D$4,'Deal Tracker'!$D$2:$D$500)&gt;=1000,"$"&amp;TEXT(SUMIF('Deal Tracker'!$C$2:$C$500,$D$4,'Deal Tracker'!$D$2:$D$500)/1000,"#,##0.0")&amp;"B","$"&amp;TEXT(SUMIF('Deal Tracker'!$C$2:$C$500,$D$4,'Deal Tracker'!$D$2:$D$500),"#,##0")&amp;"M"))</f>
        <v>No deals yet</v>
      </c>
      <c r="F5" s="6" t="str">
        <f aca="false">IF(COUNTIF('Deal Tracker'!$C$2:$C$500,$F$4)=0,"No deals yet",COUNTIF('Deal Tracker'!$C$2:$C$500,$F$4)&amp;IF(COUNTIF('Deal Tracker'!$C$2:$C$500,$F$4)=1," deal  ·  "," deals  ·  ")&amp;IF(SUMIF('Deal Tracker'!$C$2:$C$500,$F$4,'Deal Tracker'!$D$2:$D$500)&gt;=1000,"$"&amp;TEXT(SUMIF('Deal Tracker'!$C$2:$C$500,$F$4,'Deal Tracker'!$D$2:$D$500)/1000,"#,##0.0")&amp;"B","$"&amp;TEXT(SUMIF('Deal Tracker'!$C$2:$C$500,$F$4,'Deal Tracker'!$D$2:$D$500),"#,##0")&amp;"M"))</f>
        <v>No deals yet</v>
      </c>
    </row>
    <row r="6" customFormat="false" ht="16.5" hidden="false" customHeight="true" outlineLevel="0" collapsed="false">
      <c r="B6" s="7" t="str">
        <f aca="false">IFERROR(INDEX(Calc!$C$2:$C$500,MATCH($B$4&amp;"#"&amp;1,Calc!$B$2:$B$500,0)),"")</f>
        <v>Example NuclearCo — $2,500M</v>
      </c>
      <c r="D6" s="7" t="str">
        <f aca="false">IFERROR(INDEX(Calc!$C$2:$C$500,MATCH($D$4&amp;"#"&amp;1,Calc!$B$2:$B$500,0)),"")</f>
        <v/>
      </c>
      <c r="F6" s="7" t="str">
        <f aca="false">IFERROR(INDEX(Calc!$C$2:$C$500,MATCH($F$4&amp;"#"&amp;1,Calc!$B$2:$B$500,0)),"")</f>
        <v/>
      </c>
    </row>
    <row r="7" customFormat="false" ht="16.5" hidden="false" customHeight="true" outlineLevel="0" collapsed="false">
      <c r="B7" s="7" t="str">
        <f aca="false">IFERROR(INDEX(Calc!$C$2:$C$500,MATCH($B$4&amp;"#"&amp;2,Calc!$B$2:$B$500,0)),"")</f>
        <v/>
      </c>
      <c r="D7" s="7" t="str">
        <f aca="false">IFERROR(INDEX(Calc!$C$2:$C$500,MATCH($D$4&amp;"#"&amp;2,Calc!$B$2:$B$500,0)),"")</f>
        <v/>
      </c>
      <c r="F7" s="7" t="str">
        <f aca="false">IFERROR(INDEX(Calc!$C$2:$C$500,MATCH($F$4&amp;"#"&amp;2,Calc!$B$2:$B$500,0)),"")</f>
        <v/>
      </c>
    </row>
    <row r="8" customFormat="false" ht="16.5" hidden="false" customHeight="true" outlineLevel="0" collapsed="false">
      <c r="B8" s="7" t="str">
        <f aca="false">IFERROR(INDEX(Calc!$C$2:$C$500,MATCH($B$4&amp;"#"&amp;3,Calc!$B$2:$B$500,0)),"")</f>
        <v/>
      </c>
      <c r="D8" s="7" t="str">
        <f aca="false">IFERROR(INDEX(Calc!$C$2:$C$500,MATCH($D$4&amp;"#"&amp;3,Calc!$B$2:$B$500,0)),"")</f>
        <v/>
      </c>
      <c r="F8" s="7" t="str">
        <f aca="false">IFERROR(INDEX(Calc!$C$2:$C$500,MATCH($F$4&amp;"#"&amp;3,Calc!$B$2:$B$500,0)),"")</f>
        <v/>
      </c>
    </row>
    <row r="9" customFormat="false" ht="16.5" hidden="false" customHeight="true" outlineLevel="0" collapsed="false">
      <c r="B9" s="7" t="str">
        <f aca="false">IFERROR(INDEX(Calc!$C$2:$C$500,MATCH($B$4&amp;"#"&amp;4,Calc!$B$2:$B$500,0)),"")</f>
        <v/>
      </c>
      <c r="D9" s="7" t="str">
        <f aca="false">IFERROR(INDEX(Calc!$C$2:$C$500,MATCH($D$4&amp;"#"&amp;4,Calc!$B$2:$B$500,0)),"")</f>
        <v/>
      </c>
      <c r="F9" s="7" t="str">
        <f aca="false">IFERROR(INDEX(Calc!$C$2:$C$500,MATCH($F$4&amp;"#"&amp;4,Calc!$B$2:$B$500,0)),"")</f>
        <v/>
      </c>
    </row>
    <row r="10" customFormat="false" ht="16.5" hidden="false" customHeight="true" outlineLevel="0" collapsed="false">
      <c r="B10" s="7" t="str">
        <f aca="false">IFERROR(INDEX(Calc!$C$2:$C$500,MATCH($B$4&amp;"#"&amp;5,Calc!$B$2:$B$500,0)),"")</f>
        <v/>
      </c>
      <c r="D10" s="7" t="str">
        <f aca="false">IFERROR(INDEX(Calc!$C$2:$C$500,MATCH($D$4&amp;"#"&amp;5,Calc!$B$2:$B$500,0)),"")</f>
        <v/>
      </c>
      <c r="F10" s="7" t="str">
        <f aca="false">IFERROR(INDEX(Calc!$C$2:$C$500,MATCH($F$4&amp;"#"&amp;5,Calc!$B$2:$B$500,0)),"")</f>
        <v/>
      </c>
    </row>
    <row r="11" customFormat="false" ht="16.5" hidden="false" customHeight="true" outlineLevel="0" collapsed="false">
      <c r="B11" s="7" t="str">
        <f aca="false">IFERROR(INDEX(Calc!$C$2:$C$500,MATCH($B$4&amp;"#"&amp;6,Calc!$B$2:$B$500,0)),"")</f>
        <v/>
      </c>
      <c r="D11" s="7" t="str">
        <f aca="false">IFERROR(INDEX(Calc!$C$2:$C$500,MATCH($D$4&amp;"#"&amp;6,Calc!$B$2:$B$500,0)),"")</f>
        <v/>
      </c>
      <c r="F11" s="7" t="str">
        <f aca="false">IFERROR(INDEX(Calc!$C$2:$C$500,MATCH($F$4&amp;"#"&amp;6,Calc!$B$2:$B$500,0)),"")</f>
        <v/>
      </c>
    </row>
    <row r="12" customFormat="false" ht="16.5" hidden="false" customHeight="true" outlineLevel="0" collapsed="false">
      <c r="B12" s="7" t="str">
        <f aca="false">IFERROR(INDEX(Calc!$C$2:$C$500,MATCH($B$4&amp;"#"&amp;7,Calc!$B$2:$B$500,0)),"")</f>
        <v/>
      </c>
      <c r="D12" s="7" t="str">
        <f aca="false">IFERROR(INDEX(Calc!$C$2:$C$500,MATCH($D$4&amp;"#"&amp;7,Calc!$B$2:$B$500,0)),"")</f>
        <v/>
      </c>
      <c r="F12" s="7" t="str">
        <f aca="false">IFERROR(INDEX(Calc!$C$2:$C$500,MATCH($F$4&amp;"#"&amp;7,Calc!$B$2:$B$500,0)),"")</f>
        <v/>
      </c>
    </row>
    <row r="13" customFormat="false" ht="16.5" hidden="false" customHeight="true" outlineLevel="0" collapsed="false">
      <c r="B13" s="7" t="str">
        <f aca="false">IFERROR(INDEX(Calc!$C$2:$C$500,MATCH($B$4&amp;"#"&amp;8,Calc!$B$2:$B$500,0)),"")</f>
        <v/>
      </c>
      <c r="D13" s="7" t="str">
        <f aca="false">IFERROR(INDEX(Calc!$C$2:$C$500,MATCH($D$4&amp;"#"&amp;8,Calc!$B$2:$B$500,0)),"")</f>
        <v/>
      </c>
      <c r="F13" s="7" t="str">
        <f aca="false">IFERROR(INDEX(Calc!$C$2:$C$500,MATCH($F$4&amp;"#"&amp;8,Calc!$B$2:$B$500,0)),"")</f>
        <v/>
      </c>
    </row>
    <row r="14" customFormat="false" ht="16.5" hidden="false" customHeight="true" outlineLevel="0" collapsed="false">
      <c r="B14" s="7" t="str">
        <f aca="false">IFERROR(INDEX(Calc!$C$2:$C$500,MATCH($B$4&amp;"#"&amp;9,Calc!$B$2:$B$500,0)),"")</f>
        <v/>
      </c>
      <c r="D14" s="7" t="str">
        <f aca="false">IFERROR(INDEX(Calc!$C$2:$C$500,MATCH($D$4&amp;"#"&amp;9,Calc!$B$2:$B$500,0)),"")</f>
        <v/>
      </c>
      <c r="F14" s="7" t="str">
        <f aca="false">IFERROR(INDEX(Calc!$C$2:$C$500,MATCH($F$4&amp;"#"&amp;9,Calc!$B$2:$B$500,0)),"")</f>
        <v/>
      </c>
    </row>
    <row r="15" customFormat="false" ht="16.5" hidden="false" customHeight="true" outlineLevel="0" collapsed="false">
      <c r="B15" s="7" t="str">
        <f aca="false">IFERROR(INDEX(Calc!$C$2:$C$500,MATCH($B$4&amp;"#"&amp;10,Calc!$B$2:$B$500,0)),"")</f>
        <v/>
      </c>
      <c r="D15" s="7" t="str">
        <f aca="false">IFERROR(INDEX(Calc!$C$2:$C$500,MATCH($D$4&amp;"#"&amp;10,Calc!$B$2:$B$500,0)),"")</f>
        <v/>
      </c>
      <c r="F15" s="7" t="str">
        <f aca="false">IFERROR(INDEX(Calc!$C$2:$C$500,MATCH($F$4&amp;"#"&amp;10,Calc!$B$2:$B$500,0)),"")</f>
        <v/>
      </c>
    </row>
    <row r="16" customFormat="false" ht="15.75" hidden="false" customHeight="true" outlineLevel="0" collapsed="false">
      <c r="B16" s="8" t="str">
        <f aca="false">IF(COUNTIF('Deal Tracker'!$C$2:$C$500,$B$4)&gt;10,"+"&amp;(COUNTIF('Deal Tracker'!$C$2:$C$500,$B$4)-10)&amp;" more — see Deal Tracker","")</f>
        <v/>
      </c>
      <c r="D16" s="8" t="str">
        <f aca="false">IF(COUNTIF('Deal Tracker'!$C$2:$C$500,$D$4)&gt;10,"+"&amp;(COUNTIF('Deal Tracker'!$C$2:$C$500,$D$4)-10)&amp;" more — see Deal Tracker","")</f>
        <v/>
      </c>
      <c r="F16" s="8" t="str">
        <f aca="false">IF(COUNTIF('Deal Tracker'!$C$2:$C$500,$F$4)&gt;10,"+"&amp;(COUNTIF('Deal Tracker'!$C$2:$C$500,$F$4)-10)&amp;" more — see Deal Tracker","")</f>
        <v/>
      </c>
    </row>
    <row r="19" customFormat="false" ht="24" hidden="false" customHeight="true" outlineLevel="0" collapsed="false">
      <c r="B19" s="9" t="s">
        <v>5</v>
      </c>
      <c r="D19" s="10" t="s">
        <v>6</v>
      </c>
      <c r="F19" s="11" t="s">
        <v>7</v>
      </c>
    </row>
    <row r="20" customFormat="false" ht="15.75" hidden="false" customHeight="true" outlineLevel="0" collapsed="false">
      <c r="B20" s="6" t="str">
        <f aca="false">IF(COUNTIF('Deal Tracker'!$C$2:$C$500,$B$19)=0,"No deals yet",COUNTIF('Deal Tracker'!$C$2:$C$500,$B$19)&amp;IF(COUNTIF('Deal Tracker'!$C$2:$C$500,$B$19)=1," deal  ·  "," deals  ·  ")&amp;IF(SUMIF('Deal Tracker'!$C$2:$C$500,$B$19,'Deal Tracker'!$D$2:$D$500)&gt;=1000,"$"&amp;TEXT(SUMIF('Deal Tracker'!$C$2:$C$500,$B$19,'Deal Tracker'!$D$2:$D$500)/1000,"#,##0.0")&amp;"B","$"&amp;TEXT(SUMIF('Deal Tracker'!$C$2:$C$500,$B$19,'Deal Tracker'!$D$2:$D$500),"#,##0")&amp;"M"))</f>
        <v>1 deal  ·  $800M</v>
      </c>
      <c r="D20" s="6" t="str">
        <f aca="false">IF(COUNTIF('Deal Tracker'!$C$2:$C$500,$D$19)=0,"No deals yet",COUNTIF('Deal Tracker'!$C$2:$C$500,$D$19)&amp;IF(COUNTIF('Deal Tracker'!$C$2:$C$500,$D$19)=1," deal  ·  "," deals  ·  ")&amp;IF(SUMIF('Deal Tracker'!$C$2:$C$500,$D$19,'Deal Tracker'!$D$2:$D$500)&gt;=1000,"$"&amp;TEXT(SUMIF('Deal Tracker'!$C$2:$C$500,$D$19,'Deal Tracker'!$D$2:$D$500)/1000,"#,##0.0")&amp;"B","$"&amp;TEXT(SUMIF('Deal Tracker'!$C$2:$C$500,$D$19,'Deal Tracker'!$D$2:$D$500),"#,##0")&amp;"M"))</f>
        <v>No deals yet</v>
      </c>
      <c r="F20" s="6" t="str">
        <f aca="false">IF(COUNTIF('Deal Tracker'!$C$2:$C$500,$F$19)=0,"No deals yet",COUNTIF('Deal Tracker'!$C$2:$C$500,$F$19)&amp;IF(COUNTIF('Deal Tracker'!$C$2:$C$500,$F$19)=1," deal  ·  "," deals  ·  ")&amp;IF(SUMIF('Deal Tracker'!$C$2:$C$500,$F$19,'Deal Tracker'!$D$2:$D$500)&gt;=1000,"$"&amp;TEXT(SUMIF('Deal Tracker'!$C$2:$C$500,$F$19,'Deal Tracker'!$D$2:$D$500)/1000,"#,##0.0")&amp;"B","$"&amp;TEXT(SUMIF('Deal Tracker'!$C$2:$C$500,$F$19,'Deal Tracker'!$D$2:$D$500),"#,##0")&amp;"M"))</f>
        <v>No deals yet</v>
      </c>
    </row>
    <row r="21" customFormat="false" ht="16.5" hidden="false" customHeight="true" outlineLevel="0" collapsed="false">
      <c r="B21" s="7" t="str">
        <f aca="false">IFERROR(INDEX(Calc!$C$2:$C$500,MATCH($B$19&amp;"#"&amp;1,Calc!$B$2:$B$500,0)),"")</f>
        <v>Example ShipCo — $800M</v>
      </c>
      <c r="D21" s="7" t="str">
        <f aca="false">IFERROR(INDEX(Calc!$C$2:$C$500,MATCH($D$19&amp;"#"&amp;1,Calc!$B$2:$B$500,0)),"")</f>
        <v/>
      </c>
      <c r="F21" s="7" t="str">
        <f aca="false">IFERROR(INDEX(Calc!$C$2:$C$500,MATCH($F$19&amp;"#"&amp;1,Calc!$B$2:$B$500,0)),"")</f>
        <v/>
      </c>
    </row>
    <row r="22" customFormat="false" ht="16.5" hidden="false" customHeight="true" outlineLevel="0" collapsed="false">
      <c r="B22" s="7" t="str">
        <f aca="false">IFERROR(INDEX(Calc!$C$2:$C$500,MATCH($B$19&amp;"#"&amp;2,Calc!$B$2:$B$500,0)),"")</f>
        <v/>
      </c>
      <c r="D22" s="7" t="str">
        <f aca="false">IFERROR(INDEX(Calc!$C$2:$C$500,MATCH($D$19&amp;"#"&amp;2,Calc!$B$2:$B$500,0)),"")</f>
        <v/>
      </c>
      <c r="F22" s="7" t="str">
        <f aca="false">IFERROR(INDEX(Calc!$C$2:$C$500,MATCH($F$19&amp;"#"&amp;2,Calc!$B$2:$B$500,0)),"")</f>
        <v/>
      </c>
    </row>
    <row r="23" customFormat="false" ht="16.5" hidden="false" customHeight="true" outlineLevel="0" collapsed="false">
      <c r="B23" s="7" t="str">
        <f aca="false">IFERROR(INDEX(Calc!$C$2:$C$500,MATCH($B$19&amp;"#"&amp;3,Calc!$B$2:$B$500,0)),"")</f>
        <v/>
      </c>
      <c r="D23" s="7" t="str">
        <f aca="false">IFERROR(INDEX(Calc!$C$2:$C$500,MATCH($D$19&amp;"#"&amp;3,Calc!$B$2:$B$500,0)),"")</f>
        <v/>
      </c>
      <c r="F23" s="7" t="str">
        <f aca="false">IFERROR(INDEX(Calc!$C$2:$C$500,MATCH($F$19&amp;"#"&amp;3,Calc!$B$2:$B$500,0)),"")</f>
        <v/>
      </c>
    </row>
    <row r="24" customFormat="false" ht="16.5" hidden="false" customHeight="true" outlineLevel="0" collapsed="false">
      <c r="B24" s="7" t="str">
        <f aca="false">IFERROR(INDEX(Calc!$C$2:$C$500,MATCH($B$19&amp;"#"&amp;4,Calc!$B$2:$B$500,0)),"")</f>
        <v/>
      </c>
      <c r="D24" s="7" t="str">
        <f aca="false">IFERROR(INDEX(Calc!$C$2:$C$500,MATCH($D$19&amp;"#"&amp;4,Calc!$B$2:$B$500,0)),"")</f>
        <v/>
      </c>
      <c r="F24" s="7" t="str">
        <f aca="false">IFERROR(INDEX(Calc!$C$2:$C$500,MATCH($F$19&amp;"#"&amp;4,Calc!$B$2:$B$500,0)),"")</f>
        <v/>
      </c>
    </row>
    <row r="25" customFormat="false" ht="16.5" hidden="false" customHeight="true" outlineLevel="0" collapsed="false">
      <c r="B25" s="7" t="str">
        <f aca="false">IFERROR(INDEX(Calc!$C$2:$C$500,MATCH($B$19&amp;"#"&amp;5,Calc!$B$2:$B$500,0)),"")</f>
        <v/>
      </c>
      <c r="D25" s="7" t="str">
        <f aca="false">IFERROR(INDEX(Calc!$C$2:$C$500,MATCH($D$19&amp;"#"&amp;5,Calc!$B$2:$B$500,0)),"")</f>
        <v/>
      </c>
      <c r="F25" s="7" t="str">
        <f aca="false">IFERROR(INDEX(Calc!$C$2:$C$500,MATCH($F$19&amp;"#"&amp;5,Calc!$B$2:$B$500,0)),"")</f>
        <v/>
      </c>
    </row>
    <row r="26" customFormat="false" ht="16.5" hidden="false" customHeight="true" outlineLevel="0" collapsed="false">
      <c r="B26" s="7" t="str">
        <f aca="false">IFERROR(INDEX(Calc!$C$2:$C$500,MATCH($B$19&amp;"#"&amp;6,Calc!$B$2:$B$500,0)),"")</f>
        <v/>
      </c>
      <c r="D26" s="7" t="str">
        <f aca="false">IFERROR(INDEX(Calc!$C$2:$C$500,MATCH($D$19&amp;"#"&amp;6,Calc!$B$2:$B$500,0)),"")</f>
        <v/>
      </c>
      <c r="F26" s="7" t="str">
        <f aca="false">IFERROR(INDEX(Calc!$C$2:$C$500,MATCH($F$19&amp;"#"&amp;6,Calc!$B$2:$B$500,0)),"")</f>
        <v/>
      </c>
    </row>
    <row r="27" customFormat="false" ht="16.5" hidden="false" customHeight="true" outlineLevel="0" collapsed="false">
      <c r="B27" s="7" t="str">
        <f aca="false">IFERROR(INDEX(Calc!$C$2:$C$500,MATCH($B$19&amp;"#"&amp;7,Calc!$B$2:$B$500,0)),"")</f>
        <v/>
      </c>
      <c r="D27" s="7" t="str">
        <f aca="false">IFERROR(INDEX(Calc!$C$2:$C$500,MATCH($D$19&amp;"#"&amp;7,Calc!$B$2:$B$500,0)),"")</f>
        <v/>
      </c>
      <c r="F27" s="7" t="str">
        <f aca="false">IFERROR(INDEX(Calc!$C$2:$C$500,MATCH($F$19&amp;"#"&amp;7,Calc!$B$2:$B$500,0)),"")</f>
        <v/>
      </c>
    </row>
    <row r="28" customFormat="false" ht="16.5" hidden="false" customHeight="true" outlineLevel="0" collapsed="false">
      <c r="B28" s="7" t="str">
        <f aca="false">IFERROR(INDEX(Calc!$C$2:$C$500,MATCH($B$19&amp;"#"&amp;8,Calc!$B$2:$B$500,0)),"")</f>
        <v/>
      </c>
      <c r="D28" s="7" t="str">
        <f aca="false">IFERROR(INDEX(Calc!$C$2:$C$500,MATCH($D$19&amp;"#"&amp;8,Calc!$B$2:$B$500,0)),"")</f>
        <v/>
      </c>
      <c r="F28" s="7" t="str">
        <f aca="false">IFERROR(INDEX(Calc!$C$2:$C$500,MATCH($F$19&amp;"#"&amp;8,Calc!$B$2:$B$500,0)),"")</f>
        <v/>
      </c>
    </row>
    <row r="29" customFormat="false" ht="16.5" hidden="false" customHeight="true" outlineLevel="0" collapsed="false">
      <c r="B29" s="7" t="str">
        <f aca="false">IFERROR(INDEX(Calc!$C$2:$C$500,MATCH($B$19&amp;"#"&amp;9,Calc!$B$2:$B$500,0)),"")</f>
        <v/>
      </c>
      <c r="D29" s="7" t="str">
        <f aca="false">IFERROR(INDEX(Calc!$C$2:$C$500,MATCH($D$19&amp;"#"&amp;9,Calc!$B$2:$B$500,0)),"")</f>
        <v/>
      </c>
      <c r="F29" s="7" t="str">
        <f aca="false">IFERROR(INDEX(Calc!$C$2:$C$500,MATCH($F$19&amp;"#"&amp;9,Calc!$B$2:$B$500,0)),"")</f>
        <v/>
      </c>
    </row>
    <row r="30" customFormat="false" ht="16.5" hidden="false" customHeight="true" outlineLevel="0" collapsed="false">
      <c r="B30" s="7" t="str">
        <f aca="false">IFERROR(INDEX(Calc!$C$2:$C$500,MATCH($B$19&amp;"#"&amp;10,Calc!$B$2:$B$500,0)),"")</f>
        <v/>
      </c>
      <c r="D30" s="7" t="str">
        <f aca="false">IFERROR(INDEX(Calc!$C$2:$C$500,MATCH($D$19&amp;"#"&amp;10,Calc!$B$2:$B$500,0)),"")</f>
        <v/>
      </c>
      <c r="F30" s="7" t="str">
        <f aca="false">IFERROR(INDEX(Calc!$C$2:$C$500,MATCH($F$19&amp;"#"&amp;10,Calc!$B$2:$B$500,0)),"")</f>
        <v/>
      </c>
    </row>
    <row r="31" customFormat="false" ht="15.75" hidden="false" customHeight="true" outlineLevel="0" collapsed="false">
      <c r="B31" s="8" t="str">
        <f aca="false">IF(COUNTIF('Deal Tracker'!$C$2:$C$500,$B$19)&gt;10,"+"&amp;(COUNTIF('Deal Tracker'!$C$2:$C$500,$B$19)-10)&amp;" more — see Deal Tracker","")</f>
        <v/>
      </c>
      <c r="D31" s="8" t="str">
        <f aca="false">IF(COUNTIF('Deal Tracker'!$C$2:$C$500,$D$19)&gt;10,"+"&amp;(COUNTIF('Deal Tracker'!$C$2:$C$500,$D$19)-10)&amp;" more — see Deal Tracker","")</f>
        <v/>
      </c>
      <c r="F31" s="8" t="str">
        <f aca="false">IF(COUNTIF('Deal Tracker'!$C$2:$C$500,$F$19)&gt;10,"+"&amp;(COUNTIF('Deal Tracker'!$C$2:$C$500,$F$19)-10)&amp;" more — see Deal Tracker","")</f>
        <v/>
      </c>
    </row>
    <row r="34" customFormat="false" ht="24" hidden="false" customHeight="true" outlineLevel="0" collapsed="false">
      <c r="B34" s="12" t="s">
        <v>8</v>
      </c>
      <c r="D34" s="13" t="s">
        <v>9</v>
      </c>
      <c r="F34" s="14" t="s">
        <v>10</v>
      </c>
    </row>
    <row r="35" customFormat="false" ht="15.75" hidden="false" customHeight="true" outlineLevel="0" collapsed="false">
      <c r="B35" s="6" t="str">
        <f aca="false">IF(COUNTIF('Deal Tracker'!$C$2:$C$500,$B$34)=0,"No deals yet",COUNTIF('Deal Tracker'!$C$2:$C$500,$B$34)&amp;IF(COUNTIF('Deal Tracker'!$C$2:$C$500,$B$34)=1," deal  ·  "," deals  ·  ")&amp;IF(SUMIF('Deal Tracker'!$C$2:$C$500,$B$34,'Deal Tracker'!$D$2:$D$500)&gt;=1000,"$"&amp;TEXT(SUMIF('Deal Tracker'!$C$2:$C$500,$B$34,'Deal Tracker'!$D$2:$D$500)/1000,"#,##0.0")&amp;"B","$"&amp;TEXT(SUMIF('Deal Tracker'!$C$2:$C$500,$B$34,'Deal Tracker'!$D$2:$D$500),"#,##0")&amp;"M"))</f>
        <v>1 deal  ·  $5.0B</v>
      </c>
      <c r="D35" s="6" t="str">
        <f aca="false">IF(COUNTIF('Deal Tracker'!$C$2:$C$500,$D$34)=0,"No deals yet",COUNTIF('Deal Tracker'!$C$2:$C$500,$D$34)&amp;IF(COUNTIF('Deal Tracker'!$C$2:$C$500,$D$34)=1," deal  ·  "," deals  ·  ")&amp;IF(SUMIF('Deal Tracker'!$C$2:$C$500,$D$34,'Deal Tracker'!$D$2:$D$500)&gt;=1000,"$"&amp;TEXT(SUMIF('Deal Tracker'!$C$2:$C$500,$D$34,'Deal Tracker'!$D$2:$D$500)/1000,"#,##0.0")&amp;"B","$"&amp;TEXT(SUMIF('Deal Tracker'!$C$2:$C$500,$D$34,'Deal Tracker'!$D$2:$D$500),"#,##0")&amp;"M"))</f>
        <v>No deals yet</v>
      </c>
      <c r="F35" s="6" t="str">
        <f aca="false">IF(COUNTIF('Deal Tracker'!$C$2:$C$500,$F$34)=0,"No deals yet",COUNTIF('Deal Tracker'!$C$2:$C$500,$F$34)&amp;IF(COUNTIF('Deal Tracker'!$C$2:$C$500,$F$34)=1," deal  ·  "," deals  ·  ")&amp;IF(SUMIF('Deal Tracker'!$C$2:$C$500,$F$34,'Deal Tracker'!$D$2:$D$500)&gt;=1000,"$"&amp;TEXT(SUMIF('Deal Tracker'!$C$2:$C$500,$F$34,'Deal Tracker'!$D$2:$D$500)/1000,"#,##0.0")&amp;"B","$"&amp;TEXT(SUMIF('Deal Tracker'!$C$2:$C$500,$F$34,'Deal Tracker'!$D$2:$D$500),"#,##0")&amp;"M"))</f>
        <v>No deals yet</v>
      </c>
    </row>
    <row r="36" customFormat="false" ht="16.5" hidden="false" customHeight="true" outlineLevel="0" collapsed="false">
      <c r="B36" s="7" t="str">
        <f aca="false">IFERROR(INDEX(Calc!$C$2:$C$500,MATCH($B$34&amp;"#"&amp;1,Calc!$B$2:$B$500,0)),"")</f>
        <v>Example ChipCo — $5,000M</v>
      </c>
      <c r="D36" s="7" t="str">
        <f aca="false">IFERROR(INDEX(Calc!$C$2:$C$500,MATCH($D$34&amp;"#"&amp;1,Calc!$B$2:$B$500,0)),"")</f>
        <v/>
      </c>
      <c r="F36" s="7" t="str">
        <f aca="false">IFERROR(INDEX(Calc!$C$2:$C$500,MATCH($F$34&amp;"#"&amp;1,Calc!$B$2:$B$500,0)),"")</f>
        <v/>
      </c>
    </row>
    <row r="37" customFormat="false" ht="16.5" hidden="false" customHeight="true" outlineLevel="0" collapsed="false">
      <c r="B37" s="7" t="str">
        <f aca="false">IFERROR(INDEX(Calc!$C$2:$C$500,MATCH($B$34&amp;"#"&amp;2,Calc!$B$2:$B$500,0)),"")</f>
        <v/>
      </c>
      <c r="D37" s="7" t="str">
        <f aca="false">IFERROR(INDEX(Calc!$C$2:$C$500,MATCH($D$34&amp;"#"&amp;2,Calc!$B$2:$B$500,0)),"")</f>
        <v/>
      </c>
      <c r="F37" s="7" t="str">
        <f aca="false">IFERROR(INDEX(Calc!$C$2:$C$500,MATCH($F$34&amp;"#"&amp;2,Calc!$B$2:$B$500,0)),"")</f>
        <v/>
      </c>
    </row>
    <row r="38" customFormat="false" ht="16.5" hidden="false" customHeight="true" outlineLevel="0" collapsed="false">
      <c r="B38" s="7" t="str">
        <f aca="false">IFERROR(INDEX(Calc!$C$2:$C$500,MATCH($B$34&amp;"#"&amp;3,Calc!$B$2:$B$500,0)),"")</f>
        <v/>
      </c>
      <c r="D38" s="7" t="str">
        <f aca="false">IFERROR(INDEX(Calc!$C$2:$C$500,MATCH($D$34&amp;"#"&amp;3,Calc!$B$2:$B$500,0)),"")</f>
        <v/>
      </c>
      <c r="F38" s="7" t="str">
        <f aca="false">IFERROR(INDEX(Calc!$C$2:$C$500,MATCH($F$34&amp;"#"&amp;3,Calc!$B$2:$B$500,0)),"")</f>
        <v/>
      </c>
    </row>
    <row r="39" customFormat="false" ht="16.5" hidden="false" customHeight="true" outlineLevel="0" collapsed="false">
      <c r="B39" s="7" t="str">
        <f aca="false">IFERROR(INDEX(Calc!$C$2:$C$500,MATCH($B$34&amp;"#"&amp;4,Calc!$B$2:$B$500,0)),"")</f>
        <v/>
      </c>
      <c r="D39" s="7" t="str">
        <f aca="false">IFERROR(INDEX(Calc!$C$2:$C$500,MATCH($D$34&amp;"#"&amp;4,Calc!$B$2:$B$500,0)),"")</f>
        <v/>
      </c>
      <c r="F39" s="7" t="str">
        <f aca="false">IFERROR(INDEX(Calc!$C$2:$C$500,MATCH($F$34&amp;"#"&amp;4,Calc!$B$2:$B$500,0)),"")</f>
        <v/>
      </c>
    </row>
    <row r="40" customFormat="false" ht="16.5" hidden="false" customHeight="true" outlineLevel="0" collapsed="false">
      <c r="B40" s="7" t="str">
        <f aca="false">IFERROR(INDEX(Calc!$C$2:$C$500,MATCH($B$34&amp;"#"&amp;5,Calc!$B$2:$B$500,0)),"")</f>
        <v/>
      </c>
      <c r="D40" s="7" t="str">
        <f aca="false">IFERROR(INDEX(Calc!$C$2:$C$500,MATCH($D$34&amp;"#"&amp;5,Calc!$B$2:$B$500,0)),"")</f>
        <v/>
      </c>
      <c r="F40" s="7" t="str">
        <f aca="false">IFERROR(INDEX(Calc!$C$2:$C$500,MATCH($F$34&amp;"#"&amp;5,Calc!$B$2:$B$500,0)),"")</f>
        <v/>
      </c>
    </row>
    <row r="41" customFormat="false" ht="16.5" hidden="false" customHeight="true" outlineLevel="0" collapsed="false">
      <c r="B41" s="7" t="str">
        <f aca="false">IFERROR(INDEX(Calc!$C$2:$C$500,MATCH($B$34&amp;"#"&amp;6,Calc!$B$2:$B$500,0)),"")</f>
        <v/>
      </c>
      <c r="D41" s="7" t="str">
        <f aca="false">IFERROR(INDEX(Calc!$C$2:$C$500,MATCH($D$34&amp;"#"&amp;6,Calc!$B$2:$B$500,0)),"")</f>
        <v/>
      </c>
      <c r="F41" s="7" t="str">
        <f aca="false">IFERROR(INDEX(Calc!$C$2:$C$500,MATCH($F$34&amp;"#"&amp;6,Calc!$B$2:$B$500,0)),"")</f>
        <v/>
      </c>
    </row>
    <row r="42" customFormat="false" ht="16.5" hidden="false" customHeight="true" outlineLevel="0" collapsed="false">
      <c r="B42" s="7" t="str">
        <f aca="false">IFERROR(INDEX(Calc!$C$2:$C$500,MATCH($B$34&amp;"#"&amp;7,Calc!$B$2:$B$500,0)),"")</f>
        <v/>
      </c>
      <c r="D42" s="7" t="str">
        <f aca="false">IFERROR(INDEX(Calc!$C$2:$C$500,MATCH($D$34&amp;"#"&amp;7,Calc!$B$2:$B$500,0)),"")</f>
        <v/>
      </c>
      <c r="F42" s="7" t="str">
        <f aca="false">IFERROR(INDEX(Calc!$C$2:$C$500,MATCH($F$34&amp;"#"&amp;7,Calc!$B$2:$B$500,0)),"")</f>
        <v/>
      </c>
    </row>
    <row r="43" customFormat="false" ht="16.5" hidden="false" customHeight="true" outlineLevel="0" collapsed="false">
      <c r="B43" s="7" t="str">
        <f aca="false">IFERROR(INDEX(Calc!$C$2:$C$500,MATCH($B$34&amp;"#"&amp;8,Calc!$B$2:$B$500,0)),"")</f>
        <v/>
      </c>
      <c r="D43" s="7" t="str">
        <f aca="false">IFERROR(INDEX(Calc!$C$2:$C$500,MATCH($D$34&amp;"#"&amp;8,Calc!$B$2:$B$500,0)),"")</f>
        <v/>
      </c>
      <c r="F43" s="7" t="str">
        <f aca="false">IFERROR(INDEX(Calc!$C$2:$C$500,MATCH($F$34&amp;"#"&amp;8,Calc!$B$2:$B$500,0)),"")</f>
        <v/>
      </c>
    </row>
    <row r="44" customFormat="false" ht="16.5" hidden="false" customHeight="true" outlineLevel="0" collapsed="false">
      <c r="B44" s="7" t="str">
        <f aca="false">IFERROR(INDEX(Calc!$C$2:$C$500,MATCH($B$34&amp;"#"&amp;9,Calc!$B$2:$B$500,0)),"")</f>
        <v/>
      </c>
      <c r="D44" s="7" t="str">
        <f aca="false">IFERROR(INDEX(Calc!$C$2:$C$500,MATCH($D$34&amp;"#"&amp;9,Calc!$B$2:$B$500,0)),"")</f>
        <v/>
      </c>
      <c r="F44" s="7" t="str">
        <f aca="false">IFERROR(INDEX(Calc!$C$2:$C$500,MATCH($F$34&amp;"#"&amp;9,Calc!$B$2:$B$500,0)),"")</f>
        <v/>
      </c>
    </row>
    <row r="45" customFormat="false" ht="16.5" hidden="false" customHeight="true" outlineLevel="0" collapsed="false">
      <c r="B45" s="7" t="str">
        <f aca="false">IFERROR(INDEX(Calc!$C$2:$C$500,MATCH($B$34&amp;"#"&amp;10,Calc!$B$2:$B$500,0)),"")</f>
        <v/>
      </c>
      <c r="D45" s="7" t="str">
        <f aca="false">IFERROR(INDEX(Calc!$C$2:$C$500,MATCH($D$34&amp;"#"&amp;10,Calc!$B$2:$B$500,0)),"")</f>
        <v/>
      </c>
      <c r="F45" s="7" t="str">
        <f aca="false">IFERROR(INDEX(Calc!$C$2:$C$500,MATCH($F$34&amp;"#"&amp;10,Calc!$B$2:$B$500,0)),"")</f>
        <v/>
      </c>
    </row>
    <row r="46" customFormat="false" ht="15.75" hidden="false" customHeight="true" outlineLevel="0" collapsed="false">
      <c r="B46" s="8" t="str">
        <f aca="false">IF(COUNTIF('Deal Tracker'!$C$2:$C$500,$B$34)&gt;10,"+"&amp;(COUNTIF('Deal Tracker'!$C$2:$C$500,$B$34)-10)&amp;" more — see Deal Tracker","")</f>
        <v/>
      </c>
      <c r="D46" s="8" t="str">
        <f aca="false">IF(COUNTIF('Deal Tracker'!$C$2:$C$500,$D$34)&gt;10,"+"&amp;(COUNTIF('Deal Tracker'!$C$2:$C$500,$D$34)-10)&amp;" more — see Deal Tracker","")</f>
        <v/>
      </c>
      <c r="F46" s="8" t="str">
        <f aca="false">IF(COUNTIF('Deal Tracker'!$C$2:$C$500,$F$34)&gt;10,"+"&amp;(COUNTIF('Deal Tracker'!$C$2:$C$500,$F$34)-10)&amp;" more — see Deal Tracker","")</f>
        <v/>
      </c>
    </row>
  </sheetData>
  <mergeCells count="2">
    <mergeCell ref="B1:F1"/>
    <mergeCell ref="B2:F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E6C6A"/>
    <pageSetUpPr fitToPage="false"/>
  </sheetPr>
  <dimension ref="A1:J6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28"/>
    <col collapsed="false" customWidth="true" hidden="false" outlineLevel="0" max="3" min="3" style="0" width="21"/>
    <col collapsed="false" customWidth="true" hidden="false" outlineLevel="0" max="4" min="4" style="0" width="14"/>
    <col collapsed="false" customWidth="true" hidden="false" outlineLevel="0" max="5" min="5" style="0" width="20"/>
    <col collapsed="false" customWidth="true" hidden="false" outlineLevel="0" max="6" min="6" style="0" width="14"/>
    <col collapsed="false" customWidth="true" hidden="false" outlineLevel="0" max="7" min="7" style="0" width="20"/>
    <col collapsed="false" customWidth="true" hidden="false" outlineLevel="0" max="8" min="8" style="0" width="18"/>
    <col collapsed="false" customWidth="true" hidden="false" outlineLevel="0" max="9" min="9" style="0" width="46"/>
    <col collapsed="false" customWidth="true" hidden="false" outlineLevel="0" max="10" min="10" style="0" width="13"/>
  </cols>
  <sheetData>
    <row r="1" customFormat="false" ht="21.75" hidden="false" customHeight="true" outlineLevel="0" collapsed="false">
      <c r="A1" s="15" t="s">
        <v>11</v>
      </c>
      <c r="B1" s="15" t="s">
        <v>12</v>
      </c>
      <c r="C1" s="15" t="s">
        <v>13</v>
      </c>
      <c r="D1" s="15" t="s">
        <v>14</v>
      </c>
      <c r="E1" s="15" t="s">
        <v>15</v>
      </c>
      <c r="F1" s="15" t="s">
        <v>16</v>
      </c>
      <c r="G1" s="15" t="s">
        <v>17</v>
      </c>
      <c r="H1" s="15" t="s">
        <v>18</v>
      </c>
      <c r="I1" s="15" t="s">
        <v>19</v>
      </c>
      <c r="J1" s="15" t="s">
        <v>20</v>
      </c>
    </row>
    <row r="2" customFormat="false" ht="23.85" hidden="false" customHeight="false" outlineLevel="0" collapsed="false">
      <c r="A2" s="16" t="s">
        <v>21</v>
      </c>
      <c r="B2" s="17" t="s">
        <v>22</v>
      </c>
      <c r="C2" s="17" t="s">
        <v>2</v>
      </c>
      <c r="D2" s="18" t="n">
        <v>2500</v>
      </c>
      <c r="E2" s="17" t="s">
        <v>23</v>
      </c>
      <c r="F2" s="17" t="s">
        <v>24</v>
      </c>
      <c r="G2" s="17" t="s">
        <v>25</v>
      </c>
      <c r="H2" s="17"/>
      <c r="I2" s="19" t="s">
        <v>26</v>
      </c>
      <c r="J2" s="20" t="n">
        <v>46232</v>
      </c>
    </row>
    <row r="3" customFormat="false" ht="23.85" hidden="false" customHeight="false" outlineLevel="0" collapsed="false">
      <c r="A3" s="16" t="s">
        <v>27</v>
      </c>
      <c r="B3" s="17" t="s">
        <v>28</v>
      </c>
      <c r="C3" s="17" t="s">
        <v>5</v>
      </c>
      <c r="D3" s="18" t="n">
        <v>800</v>
      </c>
      <c r="E3" s="17" t="s">
        <v>29</v>
      </c>
      <c r="F3" s="17" t="s">
        <v>30</v>
      </c>
      <c r="G3" s="17"/>
      <c r="H3" s="17"/>
      <c r="I3" s="19" t="s">
        <v>31</v>
      </c>
      <c r="J3" s="20" t="n">
        <v>46232</v>
      </c>
    </row>
    <row r="4" customFormat="false" ht="15" hidden="false" customHeight="false" outlineLevel="0" collapsed="false">
      <c r="A4" s="16" t="s">
        <v>32</v>
      </c>
      <c r="B4" s="17" t="s">
        <v>33</v>
      </c>
      <c r="C4" s="17" t="s">
        <v>8</v>
      </c>
      <c r="D4" s="18" t="n">
        <v>5000</v>
      </c>
      <c r="E4" s="17" t="s">
        <v>34</v>
      </c>
      <c r="F4" s="17"/>
      <c r="G4" s="17"/>
      <c r="H4" s="17"/>
      <c r="I4" s="19" t="s">
        <v>35</v>
      </c>
      <c r="J4" s="20" t="n">
        <v>46232</v>
      </c>
    </row>
    <row r="5" customFormat="false" ht="15" hidden="false" customHeight="false" outlineLevel="0" collapsed="false">
      <c r="A5" s="21"/>
      <c r="B5" s="22"/>
      <c r="C5" s="22"/>
      <c r="D5" s="23"/>
      <c r="E5" s="22"/>
      <c r="F5" s="22"/>
      <c r="G5" s="22"/>
      <c r="H5" s="22"/>
      <c r="I5" s="24"/>
      <c r="J5" s="25"/>
    </row>
    <row r="6" customFormat="false" ht="15" hidden="false" customHeight="false" outlineLevel="0" collapsed="false">
      <c r="A6" s="26"/>
      <c r="B6" s="27"/>
      <c r="C6" s="27"/>
      <c r="D6" s="28"/>
      <c r="E6" s="27"/>
      <c r="F6" s="27"/>
      <c r="G6" s="27"/>
      <c r="H6" s="27"/>
      <c r="I6" s="29"/>
      <c r="J6" s="30"/>
    </row>
    <row r="7" customFormat="false" ht="15" hidden="false" customHeight="false" outlineLevel="0" collapsed="false">
      <c r="A7" s="21"/>
      <c r="B7" s="22"/>
      <c r="C7" s="22"/>
      <c r="D7" s="23"/>
      <c r="E7" s="22"/>
      <c r="F7" s="22"/>
      <c r="G7" s="22"/>
      <c r="H7" s="22"/>
      <c r="I7" s="24"/>
      <c r="J7" s="25"/>
    </row>
    <row r="8" customFormat="false" ht="15" hidden="false" customHeight="false" outlineLevel="0" collapsed="false">
      <c r="A8" s="26"/>
      <c r="B8" s="27"/>
      <c r="C8" s="27"/>
      <c r="D8" s="28"/>
      <c r="E8" s="27"/>
      <c r="F8" s="27"/>
      <c r="G8" s="27"/>
      <c r="H8" s="27"/>
      <c r="I8" s="29"/>
      <c r="J8" s="30"/>
    </row>
    <row r="9" customFormat="false" ht="15" hidden="false" customHeight="false" outlineLevel="0" collapsed="false">
      <c r="A9" s="21"/>
      <c r="B9" s="22"/>
      <c r="C9" s="22"/>
      <c r="D9" s="23"/>
      <c r="E9" s="22"/>
      <c r="F9" s="22"/>
      <c r="G9" s="22"/>
      <c r="H9" s="22"/>
      <c r="I9" s="24"/>
      <c r="J9" s="25"/>
    </row>
    <row r="10" customFormat="false" ht="15" hidden="false" customHeight="false" outlineLevel="0" collapsed="false">
      <c r="A10" s="26"/>
      <c r="B10" s="27"/>
      <c r="C10" s="27"/>
      <c r="D10" s="28"/>
      <c r="E10" s="27"/>
      <c r="F10" s="27"/>
      <c r="G10" s="27"/>
      <c r="H10" s="27"/>
      <c r="I10" s="29"/>
      <c r="J10" s="30"/>
    </row>
    <row r="11" customFormat="false" ht="15" hidden="false" customHeight="false" outlineLevel="0" collapsed="false">
      <c r="A11" s="21"/>
      <c r="B11" s="22"/>
      <c r="C11" s="22"/>
      <c r="D11" s="23"/>
      <c r="E11" s="22"/>
      <c r="F11" s="22"/>
      <c r="G11" s="22"/>
      <c r="H11" s="22"/>
      <c r="I11" s="24"/>
      <c r="J11" s="25"/>
    </row>
    <row r="12" customFormat="false" ht="15" hidden="false" customHeight="false" outlineLevel="0" collapsed="false">
      <c r="A12" s="26"/>
      <c r="B12" s="27"/>
      <c r="C12" s="27"/>
      <c r="D12" s="28"/>
      <c r="E12" s="27"/>
      <c r="F12" s="27"/>
      <c r="G12" s="27"/>
      <c r="H12" s="27"/>
      <c r="I12" s="29"/>
      <c r="J12" s="30"/>
    </row>
    <row r="13" customFormat="false" ht="15" hidden="false" customHeight="false" outlineLevel="0" collapsed="false">
      <c r="A13" s="21"/>
      <c r="B13" s="22"/>
      <c r="C13" s="22"/>
      <c r="D13" s="23"/>
      <c r="E13" s="22"/>
      <c r="F13" s="22"/>
      <c r="G13" s="22"/>
      <c r="H13" s="22"/>
      <c r="I13" s="24"/>
      <c r="J13" s="25"/>
    </row>
    <row r="14" customFormat="false" ht="15" hidden="false" customHeight="false" outlineLevel="0" collapsed="false">
      <c r="A14" s="26"/>
      <c r="B14" s="27"/>
      <c r="C14" s="27"/>
      <c r="D14" s="28"/>
      <c r="E14" s="27"/>
      <c r="F14" s="27"/>
      <c r="G14" s="27"/>
      <c r="H14" s="27"/>
      <c r="I14" s="29"/>
      <c r="J14" s="30"/>
    </row>
    <row r="15" customFormat="false" ht="15" hidden="false" customHeight="false" outlineLevel="0" collapsed="false">
      <c r="A15" s="21"/>
      <c r="B15" s="22"/>
      <c r="C15" s="22"/>
      <c r="D15" s="23"/>
      <c r="E15" s="22"/>
      <c r="F15" s="22"/>
      <c r="G15" s="22"/>
      <c r="H15" s="22"/>
      <c r="I15" s="24"/>
      <c r="J15" s="25"/>
    </row>
    <row r="16" customFormat="false" ht="15" hidden="false" customHeight="false" outlineLevel="0" collapsed="false">
      <c r="A16" s="26"/>
      <c r="B16" s="27"/>
      <c r="C16" s="27"/>
      <c r="D16" s="28"/>
      <c r="E16" s="27"/>
      <c r="F16" s="27"/>
      <c r="G16" s="27"/>
      <c r="H16" s="27"/>
      <c r="I16" s="29"/>
      <c r="J16" s="30"/>
    </row>
    <row r="17" customFormat="false" ht="15" hidden="false" customHeight="false" outlineLevel="0" collapsed="false">
      <c r="A17" s="21"/>
      <c r="B17" s="22"/>
      <c r="C17" s="22"/>
      <c r="D17" s="23"/>
      <c r="E17" s="22"/>
      <c r="F17" s="22"/>
      <c r="G17" s="22"/>
      <c r="H17" s="22"/>
      <c r="I17" s="24"/>
      <c r="J17" s="25"/>
    </row>
    <row r="18" customFormat="false" ht="15" hidden="false" customHeight="false" outlineLevel="0" collapsed="false">
      <c r="A18" s="26"/>
      <c r="B18" s="27"/>
      <c r="C18" s="27"/>
      <c r="D18" s="28"/>
      <c r="E18" s="27"/>
      <c r="F18" s="27"/>
      <c r="G18" s="27"/>
      <c r="H18" s="27"/>
      <c r="I18" s="29"/>
      <c r="J18" s="30"/>
    </row>
    <row r="19" customFormat="false" ht="15" hidden="false" customHeight="false" outlineLevel="0" collapsed="false">
      <c r="A19" s="21"/>
      <c r="B19" s="22"/>
      <c r="C19" s="22"/>
      <c r="D19" s="23"/>
      <c r="E19" s="22"/>
      <c r="F19" s="22"/>
      <c r="G19" s="22"/>
      <c r="H19" s="22"/>
      <c r="I19" s="24"/>
      <c r="J19" s="25"/>
    </row>
    <row r="20" customFormat="false" ht="15" hidden="false" customHeight="false" outlineLevel="0" collapsed="false">
      <c r="A20" s="26"/>
      <c r="B20" s="27"/>
      <c r="C20" s="27"/>
      <c r="D20" s="28"/>
      <c r="E20" s="27"/>
      <c r="F20" s="27"/>
      <c r="G20" s="27"/>
      <c r="H20" s="27"/>
      <c r="I20" s="29"/>
      <c r="J20" s="30"/>
    </row>
    <row r="21" customFormat="false" ht="15" hidden="false" customHeight="false" outlineLevel="0" collapsed="false">
      <c r="A21" s="21"/>
      <c r="B21" s="22"/>
      <c r="C21" s="22"/>
      <c r="D21" s="23"/>
      <c r="E21" s="22"/>
      <c r="F21" s="22"/>
      <c r="G21" s="22"/>
      <c r="H21" s="22"/>
      <c r="I21" s="24"/>
      <c r="J21" s="25"/>
    </row>
    <row r="22" customFormat="false" ht="15" hidden="false" customHeight="false" outlineLevel="0" collapsed="false">
      <c r="A22" s="26"/>
      <c r="B22" s="27"/>
      <c r="C22" s="27"/>
      <c r="D22" s="28"/>
      <c r="E22" s="27"/>
      <c r="F22" s="27"/>
      <c r="G22" s="27"/>
      <c r="H22" s="27"/>
      <c r="I22" s="29"/>
      <c r="J22" s="30"/>
    </row>
    <row r="23" customFormat="false" ht="15" hidden="false" customHeight="false" outlineLevel="0" collapsed="false">
      <c r="A23" s="21"/>
      <c r="B23" s="22"/>
      <c r="C23" s="22"/>
      <c r="D23" s="23"/>
      <c r="E23" s="22"/>
      <c r="F23" s="22"/>
      <c r="G23" s="22"/>
      <c r="H23" s="22"/>
      <c r="I23" s="24"/>
      <c r="J23" s="25"/>
    </row>
    <row r="24" customFormat="false" ht="15" hidden="false" customHeight="false" outlineLevel="0" collapsed="false">
      <c r="A24" s="26"/>
      <c r="B24" s="27"/>
      <c r="C24" s="27"/>
      <c r="D24" s="28"/>
      <c r="E24" s="27"/>
      <c r="F24" s="27"/>
      <c r="G24" s="27"/>
      <c r="H24" s="27"/>
      <c r="I24" s="29"/>
      <c r="J24" s="30"/>
    </row>
    <row r="25" customFormat="false" ht="15" hidden="false" customHeight="false" outlineLevel="0" collapsed="false">
      <c r="A25" s="21"/>
      <c r="B25" s="22"/>
      <c r="C25" s="22"/>
      <c r="D25" s="23"/>
      <c r="E25" s="22"/>
      <c r="F25" s="22"/>
      <c r="G25" s="22"/>
      <c r="H25" s="22"/>
      <c r="I25" s="24"/>
      <c r="J25" s="25"/>
    </row>
    <row r="26" customFormat="false" ht="15" hidden="false" customHeight="false" outlineLevel="0" collapsed="false">
      <c r="A26" s="26"/>
      <c r="B26" s="27"/>
      <c r="C26" s="27"/>
      <c r="D26" s="28"/>
      <c r="E26" s="27"/>
      <c r="F26" s="27"/>
      <c r="G26" s="27"/>
      <c r="H26" s="27"/>
      <c r="I26" s="29"/>
      <c r="J26" s="30"/>
    </row>
    <row r="27" customFormat="false" ht="15" hidden="false" customHeight="false" outlineLevel="0" collapsed="false">
      <c r="A27" s="21"/>
      <c r="B27" s="22"/>
      <c r="C27" s="22"/>
      <c r="D27" s="23"/>
      <c r="E27" s="22"/>
      <c r="F27" s="22"/>
      <c r="G27" s="22"/>
      <c r="H27" s="22"/>
      <c r="I27" s="24"/>
      <c r="J27" s="25"/>
    </row>
    <row r="28" customFormat="false" ht="15" hidden="false" customHeight="false" outlineLevel="0" collapsed="false">
      <c r="A28" s="26"/>
      <c r="B28" s="27"/>
      <c r="C28" s="27"/>
      <c r="D28" s="28"/>
      <c r="E28" s="27"/>
      <c r="F28" s="27"/>
      <c r="G28" s="27"/>
      <c r="H28" s="27"/>
      <c r="I28" s="29"/>
      <c r="J28" s="30"/>
    </row>
    <row r="29" customFormat="false" ht="15" hidden="false" customHeight="false" outlineLevel="0" collapsed="false">
      <c r="A29" s="21"/>
      <c r="B29" s="22"/>
      <c r="C29" s="22"/>
      <c r="D29" s="23"/>
      <c r="E29" s="22"/>
      <c r="F29" s="22"/>
      <c r="G29" s="22"/>
      <c r="H29" s="22"/>
      <c r="I29" s="24"/>
      <c r="J29" s="25"/>
    </row>
    <row r="30" customFormat="false" ht="15" hidden="false" customHeight="false" outlineLevel="0" collapsed="false">
      <c r="A30" s="26"/>
      <c r="B30" s="27"/>
      <c r="C30" s="27"/>
      <c r="D30" s="28"/>
      <c r="E30" s="27"/>
      <c r="F30" s="27"/>
      <c r="G30" s="27"/>
      <c r="H30" s="27"/>
      <c r="I30" s="29"/>
      <c r="J30" s="30"/>
    </row>
    <row r="31" customFormat="false" ht="15" hidden="false" customHeight="false" outlineLevel="0" collapsed="false">
      <c r="A31" s="21"/>
      <c r="B31" s="22"/>
      <c r="C31" s="22"/>
      <c r="D31" s="23"/>
      <c r="E31" s="22"/>
      <c r="F31" s="22"/>
      <c r="G31" s="22"/>
      <c r="H31" s="22"/>
      <c r="I31" s="24"/>
      <c r="J31" s="25"/>
    </row>
    <row r="32" customFormat="false" ht="15" hidden="false" customHeight="false" outlineLevel="0" collapsed="false">
      <c r="A32" s="26"/>
      <c r="B32" s="27"/>
      <c r="C32" s="27"/>
      <c r="D32" s="28"/>
      <c r="E32" s="27"/>
      <c r="F32" s="27"/>
      <c r="G32" s="27"/>
      <c r="H32" s="27"/>
      <c r="I32" s="29"/>
      <c r="J32" s="30"/>
    </row>
    <row r="33" customFormat="false" ht="15" hidden="false" customHeight="false" outlineLevel="0" collapsed="false">
      <c r="A33" s="21"/>
      <c r="B33" s="22"/>
      <c r="C33" s="22"/>
      <c r="D33" s="23"/>
      <c r="E33" s="22"/>
      <c r="F33" s="22"/>
      <c r="G33" s="22"/>
      <c r="H33" s="22"/>
      <c r="I33" s="24"/>
      <c r="J33" s="25"/>
    </row>
    <row r="34" customFormat="false" ht="15" hidden="false" customHeight="false" outlineLevel="0" collapsed="false">
      <c r="A34" s="26"/>
      <c r="B34" s="27"/>
      <c r="C34" s="27"/>
      <c r="D34" s="28"/>
      <c r="E34" s="27"/>
      <c r="F34" s="27"/>
      <c r="G34" s="27"/>
      <c r="H34" s="27"/>
      <c r="I34" s="29"/>
      <c r="J34" s="30"/>
    </row>
    <row r="35" customFormat="false" ht="15" hidden="false" customHeight="false" outlineLevel="0" collapsed="false">
      <c r="A35" s="21"/>
      <c r="B35" s="22"/>
      <c r="C35" s="22"/>
      <c r="D35" s="23"/>
      <c r="E35" s="22"/>
      <c r="F35" s="22"/>
      <c r="G35" s="22"/>
      <c r="H35" s="22"/>
      <c r="I35" s="24"/>
      <c r="J35" s="25"/>
    </row>
    <row r="36" customFormat="false" ht="15" hidden="false" customHeight="false" outlineLevel="0" collapsed="false">
      <c r="A36" s="26"/>
      <c r="B36" s="27"/>
      <c r="C36" s="27"/>
      <c r="D36" s="28"/>
      <c r="E36" s="27"/>
      <c r="F36" s="27"/>
      <c r="G36" s="27"/>
      <c r="H36" s="27"/>
      <c r="I36" s="29"/>
      <c r="J36" s="30"/>
    </row>
    <row r="37" customFormat="false" ht="15" hidden="false" customHeight="false" outlineLevel="0" collapsed="false">
      <c r="A37" s="21"/>
      <c r="B37" s="22"/>
      <c r="C37" s="22"/>
      <c r="D37" s="23"/>
      <c r="E37" s="22"/>
      <c r="F37" s="22"/>
      <c r="G37" s="22"/>
      <c r="H37" s="22"/>
      <c r="I37" s="24"/>
      <c r="J37" s="25"/>
    </row>
    <row r="38" customFormat="false" ht="15" hidden="false" customHeight="false" outlineLevel="0" collapsed="false">
      <c r="A38" s="26"/>
      <c r="B38" s="27"/>
      <c r="C38" s="27"/>
      <c r="D38" s="28"/>
      <c r="E38" s="27"/>
      <c r="F38" s="27"/>
      <c r="G38" s="27"/>
      <c r="H38" s="27"/>
      <c r="I38" s="29"/>
      <c r="J38" s="30"/>
    </row>
    <row r="39" customFormat="false" ht="15" hidden="false" customHeight="false" outlineLevel="0" collapsed="false">
      <c r="A39" s="21"/>
      <c r="B39" s="22"/>
      <c r="C39" s="22"/>
      <c r="D39" s="23"/>
      <c r="E39" s="22"/>
      <c r="F39" s="22"/>
      <c r="G39" s="22"/>
      <c r="H39" s="22"/>
      <c r="I39" s="24"/>
      <c r="J39" s="25"/>
    </row>
    <row r="40" customFormat="false" ht="15" hidden="false" customHeight="false" outlineLevel="0" collapsed="false">
      <c r="A40" s="26"/>
      <c r="B40" s="27"/>
      <c r="C40" s="27"/>
      <c r="D40" s="28"/>
      <c r="E40" s="27"/>
      <c r="F40" s="27"/>
      <c r="G40" s="27"/>
      <c r="H40" s="27"/>
      <c r="I40" s="29"/>
      <c r="J40" s="30"/>
    </row>
    <row r="41" customFormat="false" ht="15" hidden="false" customHeight="false" outlineLevel="0" collapsed="false">
      <c r="A41" s="21"/>
      <c r="B41" s="22"/>
      <c r="C41" s="22"/>
      <c r="D41" s="23"/>
      <c r="E41" s="22"/>
      <c r="F41" s="22"/>
      <c r="G41" s="22"/>
      <c r="H41" s="22"/>
      <c r="I41" s="24"/>
      <c r="J41" s="25"/>
    </row>
    <row r="42" customFormat="false" ht="15" hidden="false" customHeight="false" outlineLevel="0" collapsed="false">
      <c r="A42" s="26"/>
      <c r="B42" s="27"/>
      <c r="C42" s="27"/>
      <c r="D42" s="28"/>
      <c r="E42" s="27"/>
      <c r="F42" s="27"/>
      <c r="G42" s="27"/>
      <c r="H42" s="27"/>
      <c r="I42" s="29"/>
      <c r="J42" s="30"/>
    </row>
    <row r="43" customFormat="false" ht="15" hidden="false" customHeight="false" outlineLevel="0" collapsed="false">
      <c r="A43" s="21"/>
      <c r="B43" s="22"/>
      <c r="C43" s="22"/>
      <c r="D43" s="23"/>
      <c r="E43" s="22"/>
      <c r="F43" s="22"/>
      <c r="G43" s="22"/>
      <c r="H43" s="22"/>
      <c r="I43" s="24"/>
      <c r="J43" s="25"/>
    </row>
    <row r="44" customFormat="false" ht="15" hidden="false" customHeight="false" outlineLevel="0" collapsed="false">
      <c r="A44" s="26"/>
      <c r="B44" s="27"/>
      <c r="C44" s="27"/>
      <c r="D44" s="28"/>
      <c r="E44" s="27"/>
      <c r="F44" s="27"/>
      <c r="G44" s="27"/>
      <c r="H44" s="27"/>
      <c r="I44" s="29"/>
      <c r="J44" s="30"/>
    </row>
    <row r="45" customFormat="false" ht="15" hidden="false" customHeight="false" outlineLevel="0" collapsed="false">
      <c r="A45" s="21"/>
      <c r="B45" s="22"/>
      <c r="C45" s="22"/>
      <c r="D45" s="23"/>
      <c r="E45" s="22"/>
      <c r="F45" s="22"/>
      <c r="G45" s="22"/>
      <c r="H45" s="22"/>
      <c r="I45" s="24"/>
      <c r="J45" s="25"/>
    </row>
    <row r="46" customFormat="false" ht="15" hidden="false" customHeight="false" outlineLevel="0" collapsed="false">
      <c r="A46" s="26"/>
      <c r="B46" s="27"/>
      <c r="C46" s="27"/>
      <c r="D46" s="28"/>
      <c r="E46" s="27"/>
      <c r="F46" s="27"/>
      <c r="G46" s="27"/>
      <c r="H46" s="27"/>
      <c r="I46" s="29"/>
      <c r="J46" s="30"/>
    </row>
    <row r="47" customFormat="false" ht="15" hidden="false" customHeight="false" outlineLevel="0" collapsed="false">
      <c r="A47" s="21"/>
      <c r="B47" s="22"/>
      <c r="C47" s="22"/>
      <c r="D47" s="23"/>
      <c r="E47" s="22"/>
      <c r="F47" s="22"/>
      <c r="G47" s="22"/>
      <c r="H47" s="22"/>
      <c r="I47" s="24"/>
      <c r="J47" s="25"/>
    </row>
    <row r="48" customFormat="false" ht="15" hidden="false" customHeight="false" outlineLevel="0" collapsed="false">
      <c r="A48" s="26"/>
      <c r="B48" s="27"/>
      <c r="C48" s="27"/>
      <c r="D48" s="28"/>
      <c r="E48" s="27"/>
      <c r="F48" s="27"/>
      <c r="G48" s="27"/>
      <c r="H48" s="27"/>
      <c r="I48" s="29"/>
      <c r="J48" s="30"/>
    </row>
    <row r="49" customFormat="false" ht="15" hidden="false" customHeight="false" outlineLevel="0" collapsed="false">
      <c r="A49" s="21"/>
      <c r="B49" s="22"/>
      <c r="C49" s="22"/>
      <c r="D49" s="23"/>
      <c r="E49" s="22"/>
      <c r="F49" s="22"/>
      <c r="G49" s="22"/>
      <c r="H49" s="22"/>
      <c r="I49" s="24"/>
      <c r="J49" s="25"/>
    </row>
    <row r="50" customFormat="false" ht="15" hidden="false" customHeight="false" outlineLevel="0" collapsed="false">
      <c r="A50" s="26"/>
      <c r="B50" s="27"/>
      <c r="C50" s="27"/>
      <c r="D50" s="28"/>
      <c r="E50" s="27"/>
      <c r="F50" s="27"/>
      <c r="G50" s="27"/>
      <c r="H50" s="27"/>
      <c r="I50" s="29"/>
      <c r="J50" s="30"/>
    </row>
    <row r="51" customFormat="false" ht="15" hidden="false" customHeight="false" outlineLevel="0" collapsed="false">
      <c r="A51" s="21"/>
      <c r="B51" s="22"/>
      <c r="C51" s="22"/>
      <c r="D51" s="23"/>
      <c r="E51" s="22"/>
      <c r="F51" s="22"/>
      <c r="G51" s="22"/>
      <c r="H51" s="22"/>
      <c r="I51" s="24"/>
      <c r="J51" s="25"/>
    </row>
    <row r="52" customFormat="false" ht="15" hidden="false" customHeight="false" outlineLevel="0" collapsed="false">
      <c r="A52" s="26"/>
      <c r="B52" s="27"/>
      <c r="C52" s="27"/>
      <c r="D52" s="28"/>
      <c r="E52" s="27"/>
      <c r="F52" s="27"/>
      <c r="G52" s="27"/>
      <c r="H52" s="27"/>
      <c r="I52" s="29"/>
      <c r="J52" s="30"/>
    </row>
    <row r="53" customFormat="false" ht="15" hidden="false" customHeight="false" outlineLevel="0" collapsed="false">
      <c r="A53" s="21"/>
      <c r="B53" s="22"/>
      <c r="C53" s="22"/>
      <c r="D53" s="23"/>
      <c r="E53" s="22"/>
      <c r="F53" s="22"/>
      <c r="G53" s="22"/>
      <c r="H53" s="22"/>
      <c r="I53" s="24"/>
      <c r="J53" s="25"/>
    </row>
    <row r="54" customFormat="false" ht="15" hidden="false" customHeight="false" outlineLevel="0" collapsed="false">
      <c r="A54" s="26"/>
      <c r="B54" s="27"/>
      <c r="C54" s="27"/>
      <c r="D54" s="28"/>
      <c r="E54" s="27"/>
      <c r="F54" s="27"/>
      <c r="G54" s="27"/>
      <c r="H54" s="27"/>
      <c r="I54" s="29"/>
      <c r="J54" s="30"/>
    </row>
    <row r="55" customFormat="false" ht="15" hidden="false" customHeight="false" outlineLevel="0" collapsed="false">
      <c r="A55" s="21"/>
      <c r="B55" s="22"/>
      <c r="C55" s="22"/>
      <c r="D55" s="23"/>
      <c r="E55" s="22"/>
      <c r="F55" s="22"/>
      <c r="G55" s="22"/>
      <c r="H55" s="22"/>
      <c r="I55" s="24"/>
      <c r="J55" s="25"/>
    </row>
    <row r="56" customFormat="false" ht="15" hidden="false" customHeight="false" outlineLevel="0" collapsed="false">
      <c r="A56" s="26"/>
      <c r="B56" s="27"/>
      <c r="C56" s="27"/>
      <c r="D56" s="28"/>
      <c r="E56" s="27"/>
      <c r="F56" s="27"/>
      <c r="G56" s="27"/>
      <c r="H56" s="27"/>
      <c r="I56" s="29"/>
      <c r="J56" s="30"/>
    </row>
    <row r="57" customFormat="false" ht="15" hidden="false" customHeight="false" outlineLevel="0" collapsed="false">
      <c r="A57" s="21"/>
      <c r="B57" s="22"/>
      <c r="C57" s="22"/>
      <c r="D57" s="23"/>
      <c r="E57" s="22"/>
      <c r="F57" s="22"/>
      <c r="G57" s="22"/>
      <c r="H57" s="22"/>
      <c r="I57" s="24"/>
      <c r="J57" s="25"/>
    </row>
    <row r="58" customFormat="false" ht="15" hidden="false" customHeight="false" outlineLevel="0" collapsed="false">
      <c r="A58" s="26"/>
      <c r="B58" s="27"/>
      <c r="C58" s="27"/>
      <c r="D58" s="28"/>
      <c r="E58" s="27"/>
      <c r="F58" s="27"/>
      <c r="G58" s="27"/>
      <c r="H58" s="27"/>
      <c r="I58" s="29"/>
      <c r="J58" s="30"/>
    </row>
    <row r="59" customFormat="false" ht="15" hidden="false" customHeight="false" outlineLevel="0" collapsed="false">
      <c r="A59" s="21"/>
      <c r="B59" s="22"/>
      <c r="C59" s="22"/>
      <c r="D59" s="23"/>
      <c r="E59" s="22"/>
      <c r="F59" s="22"/>
      <c r="G59" s="22"/>
      <c r="H59" s="22"/>
      <c r="I59" s="24"/>
      <c r="J59" s="25"/>
    </row>
    <row r="60" customFormat="false" ht="15" hidden="false" customHeight="false" outlineLevel="0" collapsed="false">
      <c r="A60" s="26"/>
      <c r="B60" s="27"/>
      <c r="C60" s="27"/>
      <c r="D60" s="28"/>
      <c r="E60" s="27"/>
      <c r="F60" s="27"/>
      <c r="G60" s="27"/>
      <c r="H60" s="27"/>
      <c r="I60" s="29"/>
      <c r="J60" s="30"/>
    </row>
  </sheetData>
  <autoFilter ref="A1:J500"/>
  <dataValidations count="3">
    <dataValidation allowBlank="true" errorStyle="stop" operator="between" showDropDown="false" showErrorMessage="false" showInputMessage="false" sqref="C2:C500" type="list">
      <formula1>SectorList</formula1>
      <formula2>0</formula2>
    </dataValidation>
    <dataValidation allowBlank="true" errorStyle="stop" operator="between" showDropDown="false" showErrorMessage="false" showInputMessage="false" sqref="E2:E500" type="list">
      <formula1>StatusList</formula1>
      <formula2>0</formula2>
    </dataValidation>
    <dataValidation allowBlank="true" errorStyle="stop" operator="between" showDropDown="false" showErrorMessage="false" showInputMessage="false" sqref="F2:F500" type="list">
      <formula1>AgencyList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C6A20"/>
    <pageSetUpPr fitToPage="false"/>
  </sheetPr>
  <dimension ref="B1:L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26"/>
    <col collapsed="false" customWidth="true" hidden="false" outlineLevel="0" max="3" min="3" style="0" width="10"/>
    <col collapsed="false" customWidth="true" hidden="false" outlineLevel="0" max="4" min="4" style="0" width="13"/>
    <col collapsed="false" customWidth="true" hidden="false" outlineLevel="0" max="5" min="5" style="0" width="2"/>
    <col collapsed="false" customWidth="true" hidden="false" outlineLevel="0" max="6" min="6" style="0" width="24"/>
    <col collapsed="false" customWidth="true" hidden="false" outlineLevel="0" max="7" min="7" style="0" width="10"/>
    <col collapsed="false" customWidth="true" hidden="false" outlineLevel="0" max="8" min="8" style="0" width="13"/>
    <col collapsed="false" customWidth="true" hidden="false" outlineLevel="0" max="9" min="9" style="0" width="2"/>
    <col collapsed="false" customWidth="true" hidden="false" outlineLevel="0" max="10" min="10" style="0" width="22"/>
    <col collapsed="false" customWidth="true" hidden="false" outlineLevel="0" max="11" min="11" style="0" width="10"/>
    <col collapsed="false" customWidth="true" hidden="false" outlineLevel="0" max="12" min="12" style="0" width="13"/>
  </cols>
  <sheetData>
    <row r="1" customFormat="false" ht="19.7" hidden="false" customHeight="false" outlineLevel="0" collapsed="false">
      <c r="B1" s="31" t="s">
        <v>36</v>
      </c>
    </row>
    <row r="2" customFormat="false" ht="15" hidden="false" customHeight="false" outlineLevel="0" collapsed="false">
      <c r="B2" s="32" t="s">
        <v>37</v>
      </c>
    </row>
    <row r="4" customFormat="false" ht="25.5" hidden="false" customHeight="true" outlineLevel="0" collapsed="false">
      <c r="B4" s="33" t="str">
        <f aca="false">"TOTAL PIPELINE:   "&amp;COUNTA('Deal Tracker'!$C$2:$C$500)&amp;IF(COUNTA('Deal Tracker'!$C$2:$C$500)=1," deal   ·   "," deals   ·   ")&amp;IF(SUM('Deal Tracker'!$D$2:$D$500)&gt;=1000,"$"&amp;TEXT(SUM('Deal Tracker'!$D$2:$D$500)/1000,"#,##0.0")&amp;"B","$"&amp;TEXT(SUM('Deal Tracker'!$D$2:$D$500),"#,##0")&amp;"M")</f>
        <v>TOTAL PIPELINE:   3 deals   ·   $8.3B</v>
      </c>
      <c r="C4" s="33"/>
      <c r="D4" s="33"/>
      <c r="E4" s="33"/>
      <c r="F4" s="33"/>
      <c r="G4" s="33"/>
      <c r="H4" s="33"/>
      <c r="I4" s="33"/>
      <c r="J4" s="33"/>
      <c r="K4" s="33"/>
      <c r="L4" s="33"/>
    </row>
    <row r="6" customFormat="false" ht="15" hidden="false" customHeight="false" outlineLevel="0" collapsed="false">
      <c r="B6" s="34" t="s">
        <v>38</v>
      </c>
      <c r="F6" s="34" t="s">
        <v>39</v>
      </c>
      <c r="J6" s="34" t="s">
        <v>40</v>
      </c>
    </row>
    <row r="7" customFormat="false" ht="15" hidden="false" customHeight="false" outlineLevel="0" collapsed="false">
      <c r="B7" s="35" t="s">
        <v>13</v>
      </c>
      <c r="C7" s="15" t="s">
        <v>41</v>
      </c>
      <c r="D7" s="15" t="s">
        <v>42</v>
      </c>
      <c r="F7" s="35" t="s">
        <v>15</v>
      </c>
      <c r="G7" s="15" t="s">
        <v>41</v>
      </c>
      <c r="H7" s="15" t="s">
        <v>42</v>
      </c>
      <c r="J7" s="35" t="s">
        <v>43</v>
      </c>
      <c r="K7" s="15" t="s">
        <v>41</v>
      </c>
      <c r="L7" s="15" t="s">
        <v>42</v>
      </c>
    </row>
    <row r="8" customFormat="false" ht="15" hidden="false" customHeight="false" outlineLevel="0" collapsed="false">
      <c r="B8" s="36" t="str">
        <f aca="false">'Reference Lists'!A5</f>
        <v>Nuclear</v>
      </c>
      <c r="C8" s="37" t="n">
        <f aca="false">COUNTIF('Deal Tracker'!$C$2:$C$500,$B8)</f>
        <v>1</v>
      </c>
      <c r="D8" s="37" t="n">
        <f aca="false">SUMIF('Deal Tracker'!$C$2:$C$500,$B8,'Deal Tracker'!$D$2:$D$500)</f>
        <v>2500</v>
      </c>
      <c r="F8" s="36" t="str">
        <f aca="false">'Reference Lists'!C5</f>
        <v>Intake</v>
      </c>
      <c r="G8" s="37" t="n">
        <f aca="false">COUNTIF('Deal Tracker'!$E$2:$E$500,$F8)</f>
        <v>0</v>
      </c>
      <c r="H8" s="37" t="n">
        <f aca="false">SUMIF('Deal Tracker'!$E$2:$E$500,$F8,'Deal Tracker'!$D$2:$D$500)</f>
        <v>0</v>
      </c>
      <c r="J8" s="36" t="str">
        <f aca="false">IF('Reference Lists'!F5="","",'Reference Lists'!F5)</f>
        <v>DOE</v>
      </c>
      <c r="K8" s="37" t="n">
        <f aca="false">IF($J8="","",COUNTIF('Deal Tracker'!$F$2:$F$500,$J8))</f>
        <v>1</v>
      </c>
      <c r="L8" s="37" t="n">
        <f aca="false">IF($J8="","",SUMIF('Deal Tracker'!$F$2:$F$500,$J8,'Deal Tracker'!$D$2:$D$500))</f>
        <v>2500</v>
      </c>
    </row>
    <row r="9" customFormat="false" ht="15" hidden="false" customHeight="false" outlineLevel="0" collapsed="false">
      <c r="B9" s="36" t="str">
        <f aca="false">'Reference Lists'!A6</f>
        <v>Gas</v>
      </c>
      <c r="C9" s="37" t="n">
        <f aca="false">COUNTIF('Deal Tracker'!$C$2:$C$500,$B9)</f>
        <v>0</v>
      </c>
      <c r="D9" s="37" t="n">
        <f aca="false">SUMIF('Deal Tracker'!$C$2:$C$500,$B9,'Deal Tracker'!$D$2:$D$500)</f>
        <v>0</v>
      </c>
      <c r="F9" s="36" t="str">
        <f aca="false">'Reference Lists'!C6</f>
        <v>Under Review</v>
      </c>
      <c r="G9" s="37" t="n">
        <f aca="false">COUNTIF('Deal Tracker'!$E$2:$E$500,$F9)</f>
        <v>1</v>
      </c>
      <c r="H9" s="37" t="n">
        <f aca="false">SUMIF('Deal Tracker'!$E$2:$E$500,$F9,'Deal Tracker'!$D$2:$D$500)</f>
        <v>5000</v>
      </c>
      <c r="J9" s="36" t="str">
        <f aca="false">IF('Reference Lists'!F6="","",'Reference Lists'!F6)</f>
        <v>DOW</v>
      </c>
      <c r="K9" s="37" t="n">
        <f aca="false">IF($J9="","",COUNTIF('Deal Tracker'!$F$2:$F$500,$J9))</f>
        <v>1</v>
      </c>
      <c r="L9" s="37" t="n">
        <f aca="false">IF($J9="","",SUMIF('Deal Tracker'!$F$2:$F$500,$J9,'Deal Tracker'!$D$2:$D$500))</f>
        <v>800</v>
      </c>
    </row>
    <row r="10" customFormat="false" ht="15" hidden="false" customHeight="false" outlineLevel="0" collapsed="false">
      <c r="B10" s="36" t="str">
        <f aca="false">'Reference Lists'!A7</f>
        <v>Oil &amp; Gas Midstream</v>
      </c>
      <c r="C10" s="37" t="n">
        <f aca="false">COUNTIF('Deal Tracker'!$C$2:$C$500,$B10)</f>
        <v>0</v>
      </c>
      <c r="D10" s="37" t="n">
        <f aca="false">SUMIF('Deal Tracker'!$C$2:$C$500,$B10,'Deal Tracker'!$D$2:$D$500)</f>
        <v>0</v>
      </c>
      <c r="F10" s="36" t="str">
        <f aca="false">'Reference Lists'!C7</f>
        <v>Agency Engagement</v>
      </c>
      <c r="G10" s="37" t="n">
        <f aca="false">COUNTIF('Deal Tracker'!$E$2:$E$500,$F10)</f>
        <v>1</v>
      </c>
      <c r="H10" s="37" t="n">
        <f aca="false">SUMIF('Deal Tracker'!$E$2:$E$500,$F10,'Deal Tracker'!$D$2:$D$500)</f>
        <v>800</v>
      </c>
      <c r="J10" s="36" t="str">
        <f aca="false">IF('Reference Lists'!F7="","",'Reference Lists'!F7)</f>
        <v/>
      </c>
      <c r="K10" s="37" t="str">
        <f aca="false">IF($J10="","",COUNTIF('Deal Tracker'!$F$2:$F$500,$J10))</f>
        <v/>
      </c>
      <c r="L10" s="37" t="str">
        <f aca="false">IF($J10="","",SUMIF('Deal Tracker'!$F$2:$F$500,$J10,'Deal Tracker'!$D$2:$D$500))</f>
        <v/>
      </c>
    </row>
    <row r="11" customFormat="false" ht="15" hidden="false" customHeight="false" outlineLevel="0" collapsed="false">
      <c r="B11" s="36" t="str">
        <f aca="false">'Reference Lists'!A8</f>
        <v>Ships</v>
      </c>
      <c r="C11" s="37" t="n">
        <f aca="false">COUNTIF('Deal Tracker'!$C$2:$C$500,$B11)</f>
        <v>1</v>
      </c>
      <c r="D11" s="37" t="n">
        <f aca="false">SUMIF('Deal Tracker'!$C$2:$C$500,$B11,'Deal Tracker'!$D$2:$D$500)</f>
        <v>800</v>
      </c>
      <c r="F11" s="36" t="str">
        <f aca="false">'Reference Lists'!C8</f>
        <v>Diligence</v>
      </c>
      <c r="G11" s="37" t="n">
        <f aca="false">COUNTIF('Deal Tracker'!$E$2:$E$500,$F11)</f>
        <v>1</v>
      </c>
      <c r="H11" s="37" t="n">
        <f aca="false">SUMIF('Deal Tracker'!$E$2:$E$500,$F11,'Deal Tracker'!$D$2:$D$500)</f>
        <v>2500</v>
      </c>
      <c r="J11" s="36" t="str">
        <f aca="false">IF('Reference Lists'!F8="","",'Reference Lists'!F8)</f>
        <v/>
      </c>
      <c r="K11" s="37" t="str">
        <f aca="false">IF($J11="","",COUNTIF('Deal Tracker'!$F$2:$F$500,$J11))</f>
        <v/>
      </c>
      <c r="L11" s="37" t="str">
        <f aca="false">IF($J11="","",SUMIF('Deal Tracker'!$F$2:$F$500,$J11,'Deal Tracker'!$D$2:$D$500))</f>
        <v/>
      </c>
    </row>
    <row r="12" customFormat="false" ht="15" hidden="false" customHeight="false" outlineLevel="0" collapsed="false">
      <c r="B12" s="36" t="str">
        <f aca="false">'Reference Lists'!A9</f>
        <v>Minerals &amp; Metals</v>
      </c>
      <c r="C12" s="37" t="n">
        <f aca="false">COUNTIF('Deal Tracker'!$C$2:$C$500,$B12)</f>
        <v>0</v>
      </c>
      <c r="D12" s="37" t="n">
        <f aca="false">SUMIF('Deal Tracker'!$C$2:$C$500,$B12,'Deal Tracker'!$D$2:$D$500)</f>
        <v>0</v>
      </c>
      <c r="F12" s="36" t="str">
        <f aca="false">'Reference Lists'!C9</f>
        <v>Negotiating Terms</v>
      </c>
      <c r="G12" s="37" t="n">
        <f aca="false">COUNTIF('Deal Tracker'!$E$2:$E$500,$F12)</f>
        <v>0</v>
      </c>
      <c r="H12" s="37" t="n">
        <f aca="false">SUMIF('Deal Tracker'!$E$2:$E$500,$F12,'Deal Tracker'!$D$2:$D$500)</f>
        <v>0</v>
      </c>
      <c r="J12" s="36" t="str">
        <f aca="false">IF('Reference Lists'!F9="","",'Reference Lists'!F9)</f>
        <v/>
      </c>
      <c r="K12" s="37" t="str">
        <f aca="false">IF($J12="","",COUNTIF('Deal Tracker'!$F$2:$F$500,$J12))</f>
        <v/>
      </c>
      <c r="L12" s="37" t="str">
        <f aca="false">IF($J12="","",SUMIF('Deal Tracker'!$F$2:$F$500,$J12,'Deal Tracker'!$D$2:$D$500))</f>
        <v/>
      </c>
    </row>
    <row r="13" customFormat="false" ht="15" hidden="false" customHeight="false" outlineLevel="0" collapsed="false">
      <c r="B13" s="36" t="str">
        <f aca="false">'Reference Lists'!A10</f>
        <v>Pharma</v>
      </c>
      <c r="C13" s="37" t="n">
        <f aca="false">COUNTIF('Deal Tracker'!$C$2:$C$500,$B13)</f>
        <v>0</v>
      </c>
      <c r="D13" s="37" t="n">
        <f aca="false">SUMIF('Deal Tracker'!$C$2:$C$500,$B13,'Deal Tracker'!$D$2:$D$500)</f>
        <v>0</v>
      </c>
      <c r="F13" s="36" t="str">
        <f aca="false">'Reference Lists'!C10</f>
        <v>Committed / Announced</v>
      </c>
      <c r="G13" s="37" t="n">
        <f aca="false">COUNTIF('Deal Tracker'!$E$2:$E$500,$F13)</f>
        <v>0</v>
      </c>
      <c r="H13" s="37" t="n">
        <f aca="false">SUMIF('Deal Tracker'!$E$2:$E$500,$F13,'Deal Tracker'!$D$2:$D$500)</f>
        <v>0</v>
      </c>
      <c r="J13" s="36" t="str">
        <f aca="false">IF('Reference Lists'!F10="","",'Reference Lists'!F10)</f>
        <v/>
      </c>
      <c r="K13" s="37" t="str">
        <f aca="false">IF($J13="","",COUNTIF('Deal Tracker'!$F$2:$F$500,$J13))</f>
        <v/>
      </c>
      <c r="L13" s="37" t="str">
        <f aca="false">IF($J13="","",SUMIF('Deal Tracker'!$F$2:$F$500,$J13,'Deal Tracker'!$D$2:$D$500))</f>
        <v/>
      </c>
    </row>
    <row r="14" customFormat="false" ht="15" hidden="false" customHeight="false" outlineLevel="0" collapsed="false">
      <c r="B14" s="36" t="str">
        <f aca="false">'Reference Lists'!A11</f>
        <v>Semiconductors</v>
      </c>
      <c r="C14" s="37" t="n">
        <f aca="false">COUNTIF('Deal Tracker'!$C$2:$C$500,$B14)</f>
        <v>1</v>
      </c>
      <c r="D14" s="37" t="n">
        <f aca="false">SUMIF('Deal Tracker'!$C$2:$C$500,$B14,'Deal Tracker'!$D$2:$D$500)</f>
        <v>5000</v>
      </c>
      <c r="F14" s="36" t="str">
        <f aca="false">'Reference Lists'!C11</f>
        <v>Closed</v>
      </c>
      <c r="G14" s="37" t="n">
        <f aca="false">COUNTIF('Deal Tracker'!$E$2:$E$500,$F14)</f>
        <v>0</v>
      </c>
      <c r="H14" s="37" t="n">
        <f aca="false">SUMIF('Deal Tracker'!$E$2:$E$500,$F14,'Deal Tracker'!$D$2:$D$500)</f>
        <v>0</v>
      </c>
      <c r="J14" s="36" t="str">
        <f aca="false">IF('Reference Lists'!F11="","",'Reference Lists'!F11)</f>
        <v/>
      </c>
      <c r="K14" s="37" t="str">
        <f aca="false">IF($J14="","",COUNTIF('Deal Tracker'!$F$2:$F$500,$J14))</f>
        <v/>
      </c>
      <c r="L14" s="37" t="str">
        <f aca="false">IF($J14="","",SUMIF('Deal Tracker'!$F$2:$F$500,$J14,'Deal Tracker'!$D$2:$D$500))</f>
        <v/>
      </c>
    </row>
    <row r="15" customFormat="false" ht="15" hidden="false" customHeight="false" outlineLevel="0" collapsed="false">
      <c r="B15" s="36" t="str">
        <f aca="false">'Reference Lists'!A12</f>
        <v>Advanced Manufacturing</v>
      </c>
      <c r="C15" s="37" t="n">
        <f aca="false">COUNTIF('Deal Tracker'!$C$2:$C$500,$B15)</f>
        <v>0</v>
      </c>
      <c r="D15" s="37" t="n">
        <f aca="false">SUMIF('Deal Tracker'!$C$2:$C$500,$B15,'Deal Tracker'!$D$2:$D$500)</f>
        <v>0</v>
      </c>
      <c r="F15" s="36" t="str">
        <f aca="false">'Reference Lists'!C12</f>
        <v>On Hold</v>
      </c>
      <c r="G15" s="37" t="n">
        <f aca="false">COUNTIF('Deal Tracker'!$E$2:$E$500,$F15)</f>
        <v>0</v>
      </c>
      <c r="H15" s="37" t="n">
        <f aca="false">SUMIF('Deal Tracker'!$E$2:$E$500,$F15,'Deal Tracker'!$D$2:$D$500)</f>
        <v>0</v>
      </c>
      <c r="J15" s="36" t="str">
        <f aca="false">IF('Reference Lists'!F12="","",'Reference Lists'!F12)</f>
        <v/>
      </c>
      <c r="K15" s="37" t="str">
        <f aca="false">IF($J15="","",COUNTIF('Deal Tracker'!$F$2:$F$500,$J15))</f>
        <v/>
      </c>
      <c r="L15" s="37" t="str">
        <f aca="false">IF($J15="","",SUMIF('Deal Tracker'!$F$2:$F$500,$J15,'Deal Tracker'!$D$2:$D$500))</f>
        <v/>
      </c>
    </row>
    <row r="16" customFormat="false" ht="15" hidden="false" customHeight="false" outlineLevel="0" collapsed="false">
      <c r="B16" s="36" t="str">
        <f aca="false">'Reference Lists'!A13</f>
        <v>Chemicals</v>
      </c>
      <c r="C16" s="37" t="n">
        <f aca="false">COUNTIF('Deal Tracker'!$C$2:$C$500,$B16)</f>
        <v>0</v>
      </c>
      <c r="D16" s="37" t="n">
        <f aca="false">SUMIF('Deal Tracker'!$C$2:$C$500,$B16,'Deal Tracker'!$D$2:$D$500)</f>
        <v>0</v>
      </c>
      <c r="F16" s="36" t="str">
        <f aca="false">'Reference Lists'!C13</f>
        <v>Withdrawn</v>
      </c>
      <c r="G16" s="37" t="n">
        <f aca="false">COUNTIF('Deal Tracker'!$E$2:$E$500,$F16)</f>
        <v>0</v>
      </c>
      <c r="H16" s="37" t="n">
        <f aca="false">SUMIF('Deal Tracker'!$E$2:$E$500,$F16,'Deal Tracker'!$D$2:$D$500)</f>
        <v>0</v>
      </c>
      <c r="J16" s="36" t="str">
        <f aca="false">IF('Reference Lists'!F13="","",'Reference Lists'!F13)</f>
        <v/>
      </c>
      <c r="K16" s="37" t="str">
        <f aca="false">IF($J16="","",COUNTIF('Deal Tracker'!$F$2:$F$500,$J16))</f>
        <v/>
      </c>
      <c r="L16" s="37" t="str">
        <f aca="false">IF($J16="","",SUMIF('Deal Tracker'!$F$2:$F$500,$J16,'Deal Tracker'!$D$2:$D$500))</f>
        <v/>
      </c>
    </row>
    <row r="17" customFormat="false" ht="15" hidden="false" customHeight="false" outlineLevel="0" collapsed="false">
      <c r="B17" s="38" t="s">
        <v>44</v>
      </c>
      <c r="C17" s="39" t="n">
        <f aca="false">SUM(C8:C16)</f>
        <v>3</v>
      </c>
      <c r="D17" s="39" t="n">
        <f aca="false">SUM(D8:D16)</f>
        <v>8300</v>
      </c>
      <c r="F17" s="38" t="s">
        <v>44</v>
      </c>
      <c r="G17" s="39" t="n">
        <f aca="false">SUM(G8:G16)</f>
        <v>3</v>
      </c>
      <c r="H17" s="39" t="n">
        <f aca="false">SUM(H8:H16)</f>
        <v>8300</v>
      </c>
      <c r="J17" s="36" t="str">
        <f aca="false">IF('Reference Lists'!F14="","",'Reference Lists'!F14)</f>
        <v/>
      </c>
      <c r="K17" s="37" t="str">
        <f aca="false">IF($J17="","",COUNTIF('Deal Tracker'!$F$2:$F$500,$J17))</f>
        <v/>
      </c>
      <c r="L17" s="37" t="str">
        <f aca="false">IF($J17="","",SUMIF('Deal Tracker'!$F$2:$F$500,$J17,'Deal Tracker'!$D$2:$D$500))</f>
        <v/>
      </c>
    </row>
    <row r="18" customFormat="false" ht="15" hidden="false" customHeight="false" outlineLevel="0" collapsed="false">
      <c r="J18" s="36" t="str">
        <f aca="false">IF('Reference Lists'!F15="","",'Reference Lists'!F15)</f>
        <v/>
      </c>
      <c r="K18" s="37" t="str">
        <f aca="false">IF($J18="","",COUNTIF('Deal Tracker'!$F$2:$F$500,$J18))</f>
        <v/>
      </c>
      <c r="L18" s="37" t="str">
        <f aca="false">IF($J18="","",SUMIF('Deal Tracker'!$F$2:$F$500,$J18,'Deal Tracker'!$D$2:$D$500))</f>
        <v/>
      </c>
    </row>
    <row r="19" customFormat="false" ht="15" hidden="false" customHeight="false" outlineLevel="0" collapsed="false">
      <c r="J19" s="36" t="str">
        <f aca="false">IF('Reference Lists'!F16="","",'Reference Lists'!F16)</f>
        <v/>
      </c>
      <c r="K19" s="37" t="str">
        <f aca="false">IF($J19="","",COUNTIF('Deal Tracker'!$F$2:$F$500,$J19))</f>
        <v/>
      </c>
      <c r="L19" s="37" t="str">
        <f aca="false">IF($J19="","",SUMIF('Deal Tracker'!$F$2:$F$500,$J19,'Deal Tracker'!$D$2:$D$500))</f>
        <v/>
      </c>
    </row>
    <row r="20" customFormat="false" ht="15" hidden="false" customHeight="false" outlineLevel="0" collapsed="false">
      <c r="J20" s="36" t="str">
        <f aca="false">IF('Reference Lists'!F17="","",'Reference Lists'!F17)</f>
        <v/>
      </c>
      <c r="K20" s="37" t="str">
        <f aca="false">IF($J20="","",COUNTIF('Deal Tracker'!$F$2:$F$500,$J20))</f>
        <v/>
      </c>
      <c r="L20" s="37" t="str">
        <f aca="false">IF($J20="","",SUMIF('Deal Tracker'!$F$2:$F$500,$J20,'Deal Tracker'!$D$2:$D$500))</f>
        <v/>
      </c>
    </row>
    <row r="21" customFormat="false" ht="15" hidden="false" customHeight="false" outlineLevel="0" collapsed="false">
      <c r="J21" s="36" t="str">
        <f aca="false">IF('Reference Lists'!F18="","",'Reference Lists'!F18)</f>
        <v/>
      </c>
      <c r="K21" s="37" t="str">
        <f aca="false">IF($J21="","",COUNTIF('Deal Tracker'!$F$2:$F$500,$J21))</f>
        <v/>
      </c>
      <c r="L21" s="37" t="str">
        <f aca="false">IF($J21="","",SUMIF('Deal Tracker'!$F$2:$F$500,$J21,'Deal Tracker'!$D$2:$D$500))</f>
        <v/>
      </c>
    </row>
  </sheetData>
  <mergeCells count="1">
    <mergeCell ref="B4:L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08080"/>
    <pageSetUpPr fitToPage="false"/>
  </sheetPr>
  <dimension ref="A1:I2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3"/>
    <col collapsed="false" customWidth="true" hidden="false" outlineLevel="0" max="3" min="3" style="0" width="24"/>
    <col collapsed="false" customWidth="true" hidden="false" outlineLevel="0" max="4" min="4" style="0" width="44"/>
    <col collapsed="false" customWidth="true" hidden="false" outlineLevel="0" max="5" min="5" style="0" width="3"/>
    <col collapsed="false" customWidth="true" hidden="false" outlineLevel="0" max="6" min="6" style="0" width="24"/>
    <col collapsed="false" customWidth="true" hidden="false" outlineLevel="0" max="7" min="7" style="0" width="3"/>
    <col collapsed="false" customWidth="true" hidden="false" outlineLevel="0" max="8" min="8" style="0" width="24"/>
    <col collapsed="false" customWidth="true" hidden="false" outlineLevel="0" max="9" min="9" style="0" width="30"/>
  </cols>
  <sheetData>
    <row r="1" customFormat="false" ht="17.35" hidden="false" customHeight="false" outlineLevel="0" collapsed="false">
      <c r="A1" s="40" t="s">
        <v>45</v>
      </c>
    </row>
    <row r="2" customFormat="false" ht="15" hidden="false" customHeight="false" outlineLevel="0" collapsed="false">
      <c r="A2" s="41" t="s">
        <v>46</v>
      </c>
    </row>
    <row r="4" customFormat="false" ht="15" hidden="false" customHeight="false" outlineLevel="0" collapsed="false">
      <c r="A4" s="35" t="s">
        <v>47</v>
      </c>
      <c r="C4" s="35" t="s">
        <v>48</v>
      </c>
      <c r="D4" s="35" t="s">
        <v>49</v>
      </c>
      <c r="F4" s="35" t="s">
        <v>50</v>
      </c>
      <c r="H4" s="35" t="s">
        <v>51</v>
      </c>
      <c r="I4" s="35" t="s">
        <v>52</v>
      </c>
    </row>
    <row r="5" customFormat="false" ht="15" hidden="false" customHeight="false" outlineLevel="0" collapsed="false">
      <c r="A5" s="42" t="s">
        <v>2</v>
      </c>
      <c r="C5" s="42" t="s">
        <v>53</v>
      </c>
      <c r="D5" s="43" t="s">
        <v>54</v>
      </c>
      <c r="F5" s="42" t="s">
        <v>24</v>
      </c>
      <c r="H5" s="42" t="str">
        <f aca="false">A5</f>
        <v>Nuclear</v>
      </c>
      <c r="I5" s="42" t="s">
        <v>24</v>
      </c>
    </row>
    <row r="6" customFormat="false" ht="15" hidden="false" customHeight="false" outlineLevel="0" collapsed="false">
      <c r="A6" s="42" t="s">
        <v>3</v>
      </c>
      <c r="C6" s="42" t="s">
        <v>34</v>
      </c>
      <c r="D6" s="43" t="s">
        <v>55</v>
      </c>
      <c r="F6" s="42" t="s">
        <v>30</v>
      </c>
      <c r="H6" s="42" t="str">
        <f aca="false">A6</f>
        <v>Gas</v>
      </c>
      <c r="I6" s="42" t="s">
        <v>24</v>
      </c>
    </row>
    <row r="7" customFormat="false" ht="15" hidden="false" customHeight="false" outlineLevel="0" collapsed="false">
      <c r="A7" s="42" t="s">
        <v>4</v>
      </c>
      <c r="C7" s="42" t="s">
        <v>29</v>
      </c>
      <c r="D7" s="43" t="s">
        <v>56</v>
      </c>
      <c r="F7" s="42"/>
      <c r="H7" s="42" t="str">
        <f aca="false">A7</f>
        <v>Oil &amp; Gas Midstream</v>
      </c>
      <c r="I7" s="42" t="s">
        <v>24</v>
      </c>
    </row>
    <row r="8" customFormat="false" ht="15" hidden="false" customHeight="false" outlineLevel="0" collapsed="false">
      <c r="A8" s="42" t="s">
        <v>5</v>
      </c>
      <c r="C8" s="42" t="s">
        <v>23</v>
      </c>
      <c r="D8" s="43" t="s">
        <v>57</v>
      </c>
      <c r="F8" s="42"/>
      <c r="H8" s="42" t="str">
        <f aca="false">A8</f>
        <v>Ships</v>
      </c>
      <c r="I8" s="42" t="s">
        <v>30</v>
      </c>
    </row>
    <row r="9" customFormat="false" ht="15" hidden="false" customHeight="false" outlineLevel="0" collapsed="false">
      <c r="A9" s="42" t="s">
        <v>6</v>
      </c>
      <c r="C9" s="42" t="s">
        <v>58</v>
      </c>
      <c r="D9" s="43" t="s">
        <v>59</v>
      </c>
      <c r="F9" s="42"/>
      <c r="H9" s="42" t="str">
        <f aca="false">A9</f>
        <v>Minerals &amp; Metals</v>
      </c>
      <c r="I9" s="42"/>
    </row>
    <row r="10" customFormat="false" ht="15" hidden="false" customHeight="false" outlineLevel="0" collapsed="false">
      <c r="A10" s="42" t="s">
        <v>7</v>
      </c>
      <c r="C10" s="42" t="s">
        <v>60</v>
      </c>
      <c r="D10" s="43" t="s">
        <v>61</v>
      </c>
      <c r="F10" s="42"/>
      <c r="H10" s="42" t="str">
        <f aca="false">A10</f>
        <v>Pharma</v>
      </c>
      <c r="I10" s="42"/>
    </row>
    <row r="11" customFormat="false" ht="15" hidden="false" customHeight="false" outlineLevel="0" collapsed="false">
      <c r="A11" s="42" t="s">
        <v>8</v>
      </c>
      <c r="C11" s="42" t="s">
        <v>62</v>
      </c>
      <c r="D11" s="43" t="s">
        <v>63</v>
      </c>
      <c r="F11" s="42"/>
      <c r="H11" s="42" t="str">
        <f aca="false">A11</f>
        <v>Semiconductors</v>
      </c>
      <c r="I11" s="42"/>
    </row>
    <row r="12" customFormat="false" ht="15" hidden="false" customHeight="false" outlineLevel="0" collapsed="false">
      <c r="A12" s="42" t="s">
        <v>9</v>
      </c>
      <c r="C12" s="42" t="s">
        <v>64</v>
      </c>
      <c r="D12" s="43" t="s">
        <v>65</v>
      </c>
      <c r="F12" s="42"/>
      <c r="H12" s="42" t="str">
        <f aca="false">A12</f>
        <v>Advanced Manufacturing</v>
      </c>
      <c r="I12" s="42"/>
    </row>
    <row r="13" customFormat="false" ht="15" hidden="false" customHeight="false" outlineLevel="0" collapsed="false">
      <c r="A13" s="42" t="s">
        <v>10</v>
      </c>
      <c r="C13" s="42" t="s">
        <v>66</v>
      </c>
      <c r="D13" s="43" t="s">
        <v>67</v>
      </c>
      <c r="F13" s="42"/>
      <c r="H13" s="42" t="str">
        <f aca="false">A13</f>
        <v>Chemicals</v>
      </c>
      <c r="I13" s="42"/>
    </row>
    <row r="14" customFormat="false" ht="15" hidden="false" customHeight="false" outlineLevel="0" collapsed="false">
      <c r="F14" s="42"/>
    </row>
    <row r="15" customFormat="false" ht="15" hidden="false" customHeight="false" outlineLevel="0" collapsed="false">
      <c r="F15" s="42"/>
    </row>
    <row r="16" customFormat="false" ht="15" hidden="false" customHeight="false" outlineLevel="0" collapsed="false">
      <c r="F16" s="42"/>
    </row>
    <row r="17" customFormat="false" ht="15" hidden="false" customHeight="false" outlineLevel="0" collapsed="false">
      <c r="F17" s="42"/>
    </row>
    <row r="18" customFormat="false" ht="15" hidden="false" customHeight="false" outlineLevel="0" collapsed="false">
      <c r="F18" s="42"/>
    </row>
    <row r="20" customFormat="false" ht="15" hidden="false" customHeight="false" outlineLevel="0" collapsed="false">
      <c r="F20" s="41" t="s">
        <v>68</v>
      </c>
    </row>
    <row r="22" customFormat="false" ht="15" hidden="false" customHeight="false" outlineLevel="0" collapsed="false">
      <c r="A22" s="44" t="s">
        <v>69</v>
      </c>
      <c r="B22" s="44"/>
      <c r="C22" s="44"/>
      <c r="D22" s="44"/>
      <c r="E22" s="44"/>
    </row>
    <row r="23" customFormat="false" ht="15" hidden="false" customHeight="false" outlineLevel="0" collapsed="false">
      <c r="A23" s="45" t="s">
        <v>70</v>
      </c>
      <c r="B23" s="45"/>
      <c r="C23" s="45"/>
      <c r="D23" s="45"/>
      <c r="E23" s="45"/>
    </row>
    <row r="24" customFormat="false" ht="15" hidden="false" customHeight="false" outlineLevel="0" collapsed="false">
      <c r="A24" s="45" t="s">
        <v>71</v>
      </c>
      <c r="B24" s="45"/>
      <c r="C24" s="45"/>
      <c r="D24" s="45"/>
      <c r="E24" s="45"/>
    </row>
    <row r="25" customFormat="false" ht="15" hidden="false" customHeight="false" outlineLevel="0" collapsed="false">
      <c r="A25" s="45" t="s">
        <v>72</v>
      </c>
      <c r="B25" s="45"/>
      <c r="C25" s="45"/>
      <c r="D25" s="45"/>
      <c r="E25" s="45"/>
    </row>
    <row r="26" customFormat="false" ht="15" hidden="false" customHeight="false" outlineLevel="0" collapsed="false">
      <c r="A26" s="45" t="s">
        <v>73</v>
      </c>
      <c r="B26" s="45"/>
      <c r="C26" s="45"/>
      <c r="D26" s="45"/>
      <c r="E26" s="45"/>
    </row>
    <row r="27" customFormat="false" ht="15" hidden="false" customHeight="false" outlineLevel="0" collapsed="false">
      <c r="A27" s="45" t="s">
        <v>74</v>
      </c>
      <c r="B27" s="45"/>
      <c r="C27" s="45"/>
      <c r="D27" s="45"/>
      <c r="E27" s="45"/>
    </row>
  </sheetData>
  <mergeCells count="6">
    <mergeCell ref="A22:E22"/>
    <mergeCell ref="A23:E23"/>
    <mergeCell ref="A24:E24"/>
    <mergeCell ref="A25:E25"/>
    <mergeCell ref="A26:E26"/>
    <mergeCell ref="A27:E2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5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sheetData>
    <row r="1" customFormat="false" ht="15" hidden="false" customHeight="false" outlineLevel="0" collapsed="false">
      <c r="A1" s="0" t="s">
        <v>75</v>
      </c>
      <c r="B1" s="0" t="s">
        <v>76</v>
      </c>
      <c r="C1" s="0" t="s">
        <v>77</v>
      </c>
    </row>
    <row r="2" customFormat="false" ht="15" hidden="false" customHeight="false" outlineLevel="0" collapsed="false">
      <c r="A2" s="0" t="n">
        <f aca="false">IF('Deal Tracker'!C2="","",COUNTIF('Deal Tracker'!$C$2:C2,'Deal Tracker'!C2))</f>
        <v>1</v>
      </c>
      <c r="B2" s="0" t="str">
        <f aca="false">IF(A2="","",'Deal Tracker'!C2&amp;"#"&amp;A2)</f>
        <v>Nuclear#1</v>
      </c>
      <c r="C2" s="0" t="str">
        <f aca="false">IF('Deal Tracker'!B2="","",'Deal Tracker'!B2&amp;IF('Deal Tracker'!D2=""," — size TBD"," — $"&amp;TEXT('Deal Tracker'!D2,"#,##0")&amp;"M"))</f>
        <v>Example NuclearCo — $2,500M</v>
      </c>
    </row>
    <row r="3" customFormat="false" ht="15" hidden="false" customHeight="false" outlineLevel="0" collapsed="false">
      <c r="A3" s="0" t="n">
        <f aca="false">IF('Deal Tracker'!C3="","",COUNTIF('Deal Tracker'!$C$2:C3,'Deal Tracker'!C3))</f>
        <v>1</v>
      </c>
      <c r="B3" s="0" t="str">
        <f aca="false">IF(A3="","",'Deal Tracker'!C3&amp;"#"&amp;A3)</f>
        <v>Ships#1</v>
      </c>
      <c r="C3" s="0" t="str">
        <f aca="false">IF('Deal Tracker'!B3="","",'Deal Tracker'!B3&amp;IF('Deal Tracker'!D3=""," — size TBD"," — $"&amp;TEXT('Deal Tracker'!D3,"#,##0")&amp;"M"))</f>
        <v>Example ShipCo — $800M</v>
      </c>
    </row>
    <row r="4" customFormat="false" ht="15" hidden="false" customHeight="false" outlineLevel="0" collapsed="false">
      <c r="A4" s="0" t="n">
        <f aca="false">IF('Deal Tracker'!C4="","",COUNTIF('Deal Tracker'!$C$2:C4,'Deal Tracker'!C4))</f>
        <v>1</v>
      </c>
      <c r="B4" s="0" t="str">
        <f aca="false">IF(A4="","",'Deal Tracker'!C4&amp;"#"&amp;A4)</f>
        <v>Semiconductors#1</v>
      </c>
      <c r="C4" s="0" t="str">
        <f aca="false">IF('Deal Tracker'!B4="","",'Deal Tracker'!B4&amp;IF('Deal Tracker'!D4=""," — size TBD"," — $"&amp;TEXT('Deal Tracker'!D4,"#,##0")&amp;"M"))</f>
        <v>Example ChipCo — $5,000M</v>
      </c>
    </row>
    <row r="5" customFormat="false" ht="15" hidden="false" customHeight="false" outlineLevel="0" collapsed="false">
      <c r="A5" s="0" t="str">
        <f aca="false">IF('Deal Tracker'!C5="","",COUNTIF('Deal Tracker'!$C$2:C5,'Deal Tracker'!C5))</f>
        <v/>
      </c>
      <c r="B5" s="0" t="str">
        <f aca="false">IF(A5="","",'Deal Tracker'!C5&amp;"#"&amp;A5)</f>
        <v/>
      </c>
      <c r="C5" s="0" t="str">
        <f aca="false">IF('Deal Tracker'!B5="","",'Deal Tracker'!B5&amp;IF('Deal Tracker'!D5=""," — size TBD"," — $"&amp;TEXT('Deal Tracker'!D5,"#,##0")&amp;"M"))</f>
        <v/>
      </c>
    </row>
    <row r="6" customFormat="false" ht="15" hidden="false" customHeight="false" outlineLevel="0" collapsed="false">
      <c r="A6" s="0" t="str">
        <f aca="false">IF('Deal Tracker'!C6="","",COUNTIF('Deal Tracker'!$C$2:C6,'Deal Tracker'!C6))</f>
        <v/>
      </c>
      <c r="B6" s="0" t="str">
        <f aca="false">IF(A6="","",'Deal Tracker'!C6&amp;"#"&amp;A6)</f>
        <v/>
      </c>
      <c r="C6" s="0" t="str">
        <f aca="false">IF('Deal Tracker'!B6="","",'Deal Tracker'!B6&amp;IF('Deal Tracker'!D6=""," — size TBD"," — $"&amp;TEXT('Deal Tracker'!D6,"#,##0")&amp;"M"))</f>
        <v/>
      </c>
    </row>
    <row r="7" customFormat="false" ht="15" hidden="false" customHeight="false" outlineLevel="0" collapsed="false">
      <c r="A7" s="0" t="str">
        <f aca="false">IF('Deal Tracker'!C7="","",COUNTIF('Deal Tracker'!$C$2:C7,'Deal Tracker'!C7))</f>
        <v/>
      </c>
      <c r="B7" s="0" t="str">
        <f aca="false">IF(A7="","",'Deal Tracker'!C7&amp;"#"&amp;A7)</f>
        <v/>
      </c>
      <c r="C7" s="0" t="str">
        <f aca="false">IF('Deal Tracker'!B7="","",'Deal Tracker'!B7&amp;IF('Deal Tracker'!D7=""," — size TBD"," — $"&amp;TEXT('Deal Tracker'!D7,"#,##0")&amp;"M"))</f>
        <v/>
      </c>
    </row>
    <row r="8" customFormat="false" ht="15" hidden="false" customHeight="false" outlineLevel="0" collapsed="false">
      <c r="A8" s="0" t="str">
        <f aca="false">IF('Deal Tracker'!C8="","",COUNTIF('Deal Tracker'!$C$2:C8,'Deal Tracker'!C8))</f>
        <v/>
      </c>
      <c r="B8" s="0" t="str">
        <f aca="false">IF(A8="","",'Deal Tracker'!C8&amp;"#"&amp;A8)</f>
        <v/>
      </c>
      <c r="C8" s="0" t="str">
        <f aca="false">IF('Deal Tracker'!B8="","",'Deal Tracker'!B8&amp;IF('Deal Tracker'!D8=""," — size TBD"," — $"&amp;TEXT('Deal Tracker'!D8,"#,##0")&amp;"M"))</f>
        <v/>
      </c>
    </row>
    <row r="9" customFormat="false" ht="15" hidden="false" customHeight="false" outlineLevel="0" collapsed="false">
      <c r="A9" s="0" t="str">
        <f aca="false">IF('Deal Tracker'!C9="","",COUNTIF('Deal Tracker'!$C$2:C9,'Deal Tracker'!C9))</f>
        <v/>
      </c>
      <c r="B9" s="0" t="str">
        <f aca="false">IF(A9="","",'Deal Tracker'!C9&amp;"#"&amp;A9)</f>
        <v/>
      </c>
      <c r="C9" s="0" t="str">
        <f aca="false">IF('Deal Tracker'!B9="","",'Deal Tracker'!B9&amp;IF('Deal Tracker'!D9=""," — size TBD"," — $"&amp;TEXT('Deal Tracker'!D9,"#,##0")&amp;"M"))</f>
        <v/>
      </c>
    </row>
    <row r="10" customFormat="false" ht="15" hidden="false" customHeight="false" outlineLevel="0" collapsed="false">
      <c r="A10" s="0" t="str">
        <f aca="false">IF('Deal Tracker'!C10="","",COUNTIF('Deal Tracker'!$C$2:C10,'Deal Tracker'!C10))</f>
        <v/>
      </c>
      <c r="B10" s="0" t="str">
        <f aca="false">IF(A10="","",'Deal Tracker'!C10&amp;"#"&amp;A10)</f>
        <v/>
      </c>
      <c r="C10" s="0" t="str">
        <f aca="false">IF('Deal Tracker'!B10="","",'Deal Tracker'!B10&amp;IF('Deal Tracker'!D10=""," — size TBD"," — $"&amp;TEXT('Deal Tracker'!D10,"#,##0")&amp;"M"))</f>
        <v/>
      </c>
    </row>
    <row r="11" customFormat="false" ht="15" hidden="false" customHeight="false" outlineLevel="0" collapsed="false">
      <c r="A11" s="0" t="str">
        <f aca="false">IF('Deal Tracker'!C11="","",COUNTIF('Deal Tracker'!$C$2:C11,'Deal Tracker'!C11))</f>
        <v/>
      </c>
      <c r="B11" s="0" t="str">
        <f aca="false">IF(A11="","",'Deal Tracker'!C11&amp;"#"&amp;A11)</f>
        <v/>
      </c>
      <c r="C11" s="0" t="str">
        <f aca="false">IF('Deal Tracker'!B11="","",'Deal Tracker'!B11&amp;IF('Deal Tracker'!D11=""," — size TBD"," — $"&amp;TEXT('Deal Tracker'!D11,"#,##0")&amp;"M"))</f>
        <v/>
      </c>
    </row>
    <row r="12" customFormat="false" ht="15" hidden="false" customHeight="false" outlineLevel="0" collapsed="false">
      <c r="A12" s="0" t="str">
        <f aca="false">IF('Deal Tracker'!C12="","",COUNTIF('Deal Tracker'!$C$2:C12,'Deal Tracker'!C12))</f>
        <v/>
      </c>
      <c r="B12" s="0" t="str">
        <f aca="false">IF(A12="","",'Deal Tracker'!C12&amp;"#"&amp;A12)</f>
        <v/>
      </c>
      <c r="C12" s="0" t="str">
        <f aca="false">IF('Deal Tracker'!B12="","",'Deal Tracker'!B12&amp;IF('Deal Tracker'!D12=""," — size TBD"," — $"&amp;TEXT('Deal Tracker'!D12,"#,##0")&amp;"M"))</f>
        <v/>
      </c>
    </row>
    <row r="13" customFormat="false" ht="15" hidden="false" customHeight="false" outlineLevel="0" collapsed="false">
      <c r="A13" s="0" t="str">
        <f aca="false">IF('Deal Tracker'!C13="","",COUNTIF('Deal Tracker'!$C$2:C13,'Deal Tracker'!C13))</f>
        <v/>
      </c>
      <c r="B13" s="0" t="str">
        <f aca="false">IF(A13="","",'Deal Tracker'!C13&amp;"#"&amp;A13)</f>
        <v/>
      </c>
      <c r="C13" s="0" t="str">
        <f aca="false">IF('Deal Tracker'!B13="","",'Deal Tracker'!B13&amp;IF('Deal Tracker'!D13=""," — size TBD"," — $"&amp;TEXT('Deal Tracker'!D13,"#,##0")&amp;"M"))</f>
        <v/>
      </c>
    </row>
    <row r="14" customFormat="false" ht="15" hidden="false" customHeight="false" outlineLevel="0" collapsed="false">
      <c r="A14" s="0" t="str">
        <f aca="false">IF('Deal Tracker'!C14="","",COUNTIF('Deal Tracker'!$C$2:C14,'Deal Tracker'!C14))</f>
        <v/>
      </c>
      <c r="B14" s="0" t="str">
        <f aca="false">IF(A14="","",'Deal Tracker'!C14&amp;"#"&amp;A14)</f>
        <v/>
      </c>
      <c r="C14" s="0" t="str">
        <f aca="false">IF('Deal Tracker'!B14="","",'Deal Tracker'!B14&amp;IF('Deal Tracker'!D14=""," — size TBD"," — $"&amp;TEXT('Deal Tracker'!D14,"#,##0")&amp;"M"))</f>
        <v/>
      </c>
    </row>
    <row r="15" customFormat="false" ht="15" hidden="false" customHeight="false" outlineLevel="0" collapsed="false">
      <c r="A15" s="0" t="str">
        <f aca="false">IF('Deal Tracker'!C15="","",COUNTIF('Deal Tracker'!$C$2:C15,'Deal Tracker'!C15))</f>
        <v/>
      </c>
      <c r="B15" s="0" t="str">
        <f aca="false">IF(A15="","",'Deal Tracker'!C15&amp;"#"&amp;A15)</f>
        <v/>
      </c>
      <c r="C15" s="0" t="str">
        <f aca="false">IF('Deal Tracker'!B15="","",'Deal Tracker'!B15&amp;IF('Deal Tracker'!D15=""," — size TBD"," — $"&amp;TEXT('Deal Tracker'!D15,"#,##0")&amp;"M"))</f>
        <v/>
      </c>
    </row>
    <row r="16" customFormat="false" ht="15" hidden="false" customHeight="false" outlineLevel="0" collapsed="false">
      <c r="A16" s="0" t="str">
        <f aca="false">IF('Deal Tracker'!C16="","",COUNTIF('Deal Tracker'!$C$2:C16,'Deal Tracker'!C16))</f>
        <v/>
      </c>
      <c r="B16" s="0" t="str">
        <f aca="false">IF(A16="","",'Deal Tracker'!C16&amp;"#"&amp;A16)</f>
        <v/>
      </c>
      <c r="C16" s="0" t="str">
        <f aca="false">IF('Deal Tracker'!B16="","",'Deal Tracker'!B16&amp;IF('Deal Tracker'!D16=""," — size TBD"," — $"&amp;TEXT('Deal Tracker'!D16,"#,##0")&amp;"M"))</f>
        <v/>
      </c>
    </row>
    <row r="17" customFormat="false" ht="15" hidden="false" customHeight="false" outlineLevel="0" collapsed="false">
      <c r="A17" s="0" t="str">
        <f aca="false">IF('Deal Tracker'!C17="","",COUNTIF('Deal Tracker'!$C$2:C17,'Deal Tracker'!C17))</f>
        <v/>
      </c>
      <c r="B17" s="0" t="str">
        <f aca="false">IF(A17="","",'Deal Tracker'!C17&amp;"#"&amp;A17)</f>
        <v/>
      </c>
      <c r="C17" s="0" t="str">
        <f aca="false">IF('Deal Tracker'!B17="","",'Deal Tracker'!B17&amp;IF('Deal Tracker'!D17=""," — size TBD"," — $"&amp;TEXT('Deal Tracker'!D17,"#,##0")&amp;"M"))</f>
        <v/>
      </c>
    </row>
    <row r="18" customFormat="false" ht="15" hidden="false" customHeight="false" outlineLevel="0" collapsed="false">
      <c r="A18" s="0" t="str">
        <f aca="false">IF('Deal Tracker'!C18="","",COUNTIF('Deal Tracker'!$C$2:C18,'Deal Tracker'!C18))</f>
        <v/>
      </c>
      <c r="B18" s="0" t="str">
        <f aca="false">IF(A18="","",'Deal Tracker'!C18&amp;"#"&amp;A18)</f>
        <v/>
      </c>
      <c r="C18" s="0" t="str">
        <f aca="false">IF('Deal Tracker'!B18="","",'Deal Tracker'!B18&amp;IF('Deal Tracker'!D18=""," — size TBD"," — $"&amp;TEXT('Deal Tracker'!D18,"#,##0")&amp;"M"))</f>
        <v/>
      </c>
    </row>
    <row r="19" customFormat="false" ht="15" hidden="false" customHeight="false" outlineLevel="0" collapsed="false">
      <c r="A19" s="0" t="str">
        <f aca="false">IF('Deal Tracker'!C19="","",COUNTIF('Deal Tracker'!$C$2:C19,'Deal Tracker'!C19))</f>
        <v/>
      </c>
      <c r="B19" s="0" t="str">
        <f aca="false">IF(A19="","",'Deal Tracker'!C19&amp;"#"&amp;A19)</f>
        <v/>
      </c>
      <c r="C19" s="0" t="str">
        <f aca="false">IF('Deal Tracker'!B19="","",'Deal Tracker'!B19&amp;IF('Deal Tracker'!D19=""," — size TBD"," — $"&amp;TEXT('Deal Tracker'!D19,"#,##0")&amp;"M"))</f>
        <v/>
      </c>
    </row>
    <row r="20" customFormat="false" ht="15" hidden="false" customHeight="false" outlineLevel="0" collapsed="false">
      <c r="A20" s="0" t="str">
        <f aca="false">IF('Deal Tracker'!C20="","",COUNTIF('Deal Tracker'!$C$2:C20,'Deal Tracker'!C20))</f>
        <v/>
      </c>
      <c r="B20" s="0" t="str">
        <f aca="false">IF(A20="","",'Deal Tracker'!C20&amp;"#"&amp;A20)</f>
        <v/>
      </c>
      <c r="C20" s="0" t="str">
        <f aca="false">IF('Deal Tracker'!B20="","",'Deal Tracker'!B20&amp;IF('Deal Tracker'!D20=""," — size TBD"," — $"&amp;TEXT('Deal Tracker'!D20,"#,##0")&amp;"M"))</f>
        <v/>
      </c>
    </row>
    <row r="21" customFormat="false" ht="15" hidden="false" customHeight="false" outlineLevel="0" collapsed="false">
      <c r="A21" s="0" t="str">
        <f aca="false">IF('Deal Tracker'!C21="","",COUNTIF('Deal Tracker'!$C$2:C21,'Deal Tracker'!C21))</f>
        <v/>
      </c>
      <c r="B21" s="0" t="str">
        <f aca="false">IF(A21="","",'Deal Tracker'!C21&amp;"#"&amp;A21)</f>
        <v/>
      </c>
      <c r="C21" s="0" t="str">
        <f aca="false">IF('Deal Tracker'!B21="","",'Deal Tracker'!B21&amp;IF('Deal Tracker'!D21=""," — size TBD"," — $"&amp;TEXT('Deal Tracker'!D21,"#,##0")&amp;"M"))</f>
        <v/>
      </c>
    </row>
    <row r="22" customFormat="false" ht="15" hidden="false" customHeight="false" outlineLevel="0" collapsed="false">
      <c r="A22" s="0" t="str">
        <f aca="false">IF('Deal Tracker'!C22="","",COUNTIF('Deal Tracker'!$C$2:C22,'Deal Tracker'!C22))</f>
        <v/>
      </c>
      <c r="B22" s="0" t="str">
        <f aca="false">IF(A22="","",'Deal Tracker'!C22&amp;"#"&amp;A22)</f>
        <v/>
      </c>
      <c r="C22" s="0" t="str">
        <f aca="false">IF('Deal Tracker'!B22="","",'Deal Tracker'!B22&amp;IF('Deal Tracker'!D22=""," — size TBD"," — $"&amp;TEXT('Deal Tracker'!D22,"#,##0")&amp;"M"))</f>
        <v/>
      </c>
    </row>
    <row r="23" customFormat="false" ht="15" hidden="false" customHeight="false" outlineLevel="0" collapsed="false">
      <c r="A23" s="0" t="str">
        <f aca="false">IF('Deal Tracker'!C23="","",COUNTIF('Deal Tracker'!$C$2:C23,'Deal Tracker'!C23))</f>
        <v/>
      </c>
      <c r="B23" s="0" t="str">
        <f aca="false">IF(A23="","",'Deal Tracker'!C23&amp;"#"&amp;A23)</f>
        <v/>
      </c>
      <c r="C23" s="0" t="str">
        <f aca="false">IF('Deal Tracker'!B23="","",'Deal Tracker'!B23&amp;IF('Deal Tracker'!D23=""," — size TBD"," — $"&amp;TEXT('Deal Tracker'!D23,"#,##0")&amp;"M"))</f>
        <v/>
      </c>
    </row>
    <row r="24" customFormat="false" ht="15" hidden="false" customHeight="false" outlineLevel="0" collapsed="false">
      <c r="A24" s="0" t="str">
        <f aca="false">IF('Deal Tracker'!C24="","",COUNTIF('Deal Tracker'!$C$2:C24,'Deal Tracker'!C24))</f>
        <v/>
      </c>
      <c r="B24" s="0" t="str">
        <f aca="false">IF(A24="","",'Deal Tracker'!C24&amp;"#"&amp;A24)</f>
        <v/>
      </c>
      <c r="C24" s="0" t="str">
        <f aca="false">IF('Deal Tracker'!B24="","",'Deal Tracker'!B24&amp;IF('Deal Tracker'!D24=""," — size TBD"," — $"&amp;TEXT('Deal Tracker'!D24,"#,##0")&amp;"M"))</f>
        <v/>
      </c>
    </row>
    <row r="25" customFormat="false" ht="15" hidden="false" customHeight="false" outlineLevel="0" collapsed="false">
      <c r="A25" s="0" t="str">
        <f aca="false">IF('Deal Tracker'!C25="","",COUNTIF('Deal Tracker'!$C$2:C25,'Deal Tracker'!C25))</f>
        <v/>
      </c>
      <c r="B25" s="0" t="str">
        <f aca="false">IF(A25="","",'Deal Tracker'!C25&amp;"#"&amp;A25)</f>
        <v/>
      </c>
      <c r="C25" s="0" t="str">
        <f aca="false">IF('Deal Tracker'!B25="","",'Deal Tracker'!B25&amp;IF('Deal Tracker'!D25=""," — size TBD"," — $"&amp;TEXT('Deal Tracker'!D25,"#,##0")&amp;"M"))</f>
        <v/>
      </c>
    </row>
    <row r="26" customFormat="false" ht="15" hidden="false" customHeight="false" outlineLevel="0" collapsed="false">
      <c r="A26" s="0" t="str">
        <f aca="false">IF('Deal Tracker'!C26="","",COUNTIF('Deal Tracker'!$C$2:C26,'Deal Tracker'!C26))</f>
        <v/>
      </c>
      <c r="B26" s="0" t="str">
        <f aca="false">IF(A26="","",'Deal Tracker'!C26&amp;"#"&amp;A26)</f>
        <v/>
      </c>
      <c r="C26" s="0" t="str">
        <f aca="false">IF('Deal Tracker'!B26="","",'Deal Tracker'!B26&amp;IF('Deal Tracker'!D26=""," — size TBD"," — $"&amp;TEXT('Deal Tracker'!D26,"#,##0")&amp;"M"))</f>
        <v/>
      </c>
    </row>
    <row r="27" customFormat="false" ht="15" hidden="false" customHeight="false" outlineLevel="0" collapsed="false">
      <c r="A27" s="0" t="str">
        <f aca="false">IF('Deal Tracker'!C27="","",COUNTIF('Deal Tracker'!$C$2:C27,'Deal Tracker'!C27))</f>
        <v/>
      </c>
      <c r="B27" s="0" t="str">
        <f aca="false">IF(A27="","",'Deal Tracker'!C27&amp;"#"&amp;A27)</f>
        <v/>
      </c>
      <c r="C27" s="0" t="str">
        <f aca="false">IF('Deal Tracker'!B27="","",'Deal Tracker'!B27&amp;IF('Deal Tracker'!D27=""," — size TBD"," — $"&amp;TEXT('Deal Tracker'!D27,"#,##0")&amp;"M"))</f>
        <v/>
      </c>
    </row>
    <row r="28" customFormat="false" ht="15" hidden="false" customHeight="false" outlineLevel="0" collapsed="false">
      <c r="A28" s="0" t="str">
        <f aca="false">IF('Deal Tracker'!C28="","",COUNTIF('Deal Tracker'!$C$2:C28,'Deal Tracker'!C28))</f>
        <v/>
      </c>
      <c r="B28" s="0" t="str">
        <f aca="false">IF(A28="","",'Deal Tracker'!C28&amp;"#"&amp;A28)</f>
        <v/>
      </c>
      <c r="C28" s="0" t="str">
        <f aca="false">IF('Deal Tracker'!B28="","",'Deal Tracker'!B28&amp;IF('Deal Tracker'!D28=""," — size TBD"," — $"&amp;TEXT('Deal Tracker'!D28,"#,##0")&amp;"M"))</f>
        <v/>
      </c>
    </row>
    <row r="29" customFormat="false" ht="15" hidden="false" customHeight="false" outlineLevel="0" collapsed="false">
      <c r="A29" s="0" t="str">
        <f aca="false">IF('Deal Tracker'!C29="","",COUNTIF('Deal Tracker'!$C$2:C29,'Deal Tracker'!C29))</f>
        <v/>
      </c>
      <c r="B29" s="0" t="str">
        <f aca="false">IF(A29="","",'Deal Tracker'!C29&amp;"#"&amp;A29)</f>
        <v/>
      </c>
      <c r="C29" s="0" t="str">
        <f aca="false">IF('Deal Tracker'!B29="","",'Deal Tracker'!B29&amp;IF('Deal Tracker'!D29=""," — size TBD"," — $"&amp;TEXT('Deal Tracker'!D29,"#,##0")&amp;"M"))</f>
        <v/>
      </c>
    </row>
    <row r="30" customFormat="false" ht="15" hidden="false" customHeight="false" outlineLevel="0" collapsed="false">
      <c r="A30" s="0" t="str">
        <f aca="false">IF('Deal Tracker'!C30="","",COUNTIF('Deal Tracker'!$C$2:C30,'Deal Tracker'!C30))</f>
        <v/>
      </c>
      <c r="B30" s="0" t="str">
        <f aca="false">IF(A30="","",'Deal Tracker'!C30&amp;"#"&amp;A30)</f>
        <v/>
      </c>
      <c r="C30" s="0" t="str">
        <f aca="false">IF('Deal Tracker'!B30="","",'Deal Tracker'!B30&amp;IF('Deal Tracker'!D30=""," — size TBD"," — $"&amp;TEXT('Deal Tracker'!D30,"#,##0")&amp;"M"))</f>
        <v/>
      </c>
    </row>
    <row r="31" customFormat="false" ht="15" hidden="false" customHeight="false" outlineLevel="0" collapsed="false">
      <c r="A31" s="0" t="str">
        <f aca="false">IF('Deal Tracker'!C31="","",COUNTIF('Deal Tracker'!$C$2:C31,'Deal Tracker'!C31))</f>
        <v/>
      </c>
      <c r="B31" s="0" t="str">
        <f aca="false">IF(A31="","",'Deal Tracker'!C31&amp;"#"&amp;A31)</f>
        <v/>
      </c>
      <c r="C31" s="0" t="str">
        <f aca="false">IF('Deal Tracker'!B31="","",'Deal Tracker'!B31&amp;IF('Deal Tracker'!D31=""," — size TBD"," — $"&amp;TEXT('Deal Tracker'!D31,"#,##0")&amp;"M"))</f>
        <v/>
      </c>
    </row>
    <row r="32" customFormat="false" ht="15" hidden="false" customHeight="false" outlineLevel="0" collapsed="false">
      <c r="A32" s="0" t="str">
        <f aca="false">IF('Deal Tracker'!C32="","",COUNTIF('Deal Tracker'!$C$2:C32,'Deal Tracker'!C32))</f>
        <v/>
      </c>
      <c r="B32" s="0" t="str">
        <f aca="false">IF(A32="","",'Deal Tracker'!C32&amp;"#"&amp;A32)</f>
        <v/>
      </c>
      <c r="C32" s="0" t="str">
        <f aca="false">IF('Deal Tracker'!B32="","",'Deal Tracker'!B32&amp;IF('Deal Tracker'!D32=""," — size TBD"," — $"&amp;TEXT('Deal Tracker'!D32,"#,##0")&amp;"M"))</f>
        <v/>
      </c>
    </row>
    <row r="33" customFormat="false" ht="15" hidden="false" customHeight="false" outlineLevel="0" collapsed="false">
      <c r="A33" s="0" t="str">
        <f aca="false">IF('Deal Tracker'!C33="","",COUNTIF('Deal Tracker'!$C$2:C33,'Deal Tracker'!C33))</f>
        <v/>
      </c>
      <c r="B33" s="0" t="str">
        <f aca="false">IF(A33="","",'Deal Tracker'!C33&amp;"#"&amp;A33)</f>
        <v/>
      </c>
      <c r="C33" s="0" t="str">
        <f aca="false">IF('Deal Tracker'!B33="","",'Deal Tracker'!B33&amp;IF('Deal Tracker'!D33=""," — size TBD"," — $"&amp;TEXT('Deal Tracker'!D33,"#,##0")&amp;"M"))</f>
        <v/>
      </c>
    </row>
    <row r="34" customFormat="false" ht="15" hidden="false" customHeight="false" outlineLevel="0" collapsed="false">
      <c r="A34" s="0" t="str">
        <f aca="false">IF('Deal Tracker'!C34="","",COUNTIF('Deal Tracker'!$C$2:C34,'Deal Tracker'!C34))</f>
        <v/>
      </c>
      <c r="B34" s="0" t="str">
        <f aca="false">IF(A34="","",'Deal Tracker'!C34&amp;"#"&amp;A34)</f>
        <v/>
      </c>
      <c r="C34" s="0" t="str">
        <f aca="false">IF('Deal Tracker'!B34="","",'Deal Tracker'!B34&amp;IF('Deal Tracker'!D34=""," — size TBD"," — $"&amp;TEXT('Deal Tracker'!D34,"#,##0")&amp;"M"))</f>
        <v/>
      </c>
    </row>
    <row r="35" customFormat="false" ht="15" hidden="false" customHeight="false" outlineLevel="0" collapsed="false">
      <c r="A35" s="0" t="str">
        <f aca="false">IF('Deal Tracker'!C35="","",COUNTIF('Deal Tracker'!$C$2:C35,'Deal Tracker'!C35))</f>
        <v/>
      </c>
      <c r="B35" s="0" t="str">
        <f aca="false">IF(A35="","",'Deal Tracker'!C35&amp;"#"&amp;A35)</f>
        <v/>
      </c>
      <c r="C35" s="0" t="str">
        <f aca="false">IF('Deal Tracker'!B35="","",'Deal Tracker'!B35&amp;IF('Deal Tracker'!D35=""," — size TBD"," — $"&amp;TEXT('Deal Tracker'!D35,"#,##0")&amp;"M"))</f>
        <v/>
      </c>
    </row>
    <row r="36" customFormat="false" ht="15" hidden="false" customHeight="false" outlineLevel="0" collapsed="false">
      <c r="A36" s="0" t="str">
        <f aca="false">IF('Deal Tracker'!C36="","",COUNTIF('Deal Tracker'!$C$2:C36,'Deal Tracker'!C36))</f>
        <v/>
      </c>
      <c r="B36" s="0" t="str">
        <f aca="false">IF(A36="","",'Deal Tracker'!C36&amp;"#"&amp;A36)</f>
        <v/>
      </c>
      <c r="C36" s="0" t="str">
        <f aca="false">IF('Deal Tracker'!B36="","",'Deal Tracker'!B36&amp;IF('Deal Tracker'!D36=""," — size TBD"," — $"&amp;TEXT('Deal Tracker'!D36,"#,##0")&amp;"M"))</f>
        <v/>
      </c>
    </row>
    <row r="37" customFormat="false" ht="15" hidden="false" customHeight="false" outlineLevel="0" collapsed="false">
      <c r="A37" s="0" t="str">
        <f aca="false">IF('Deal Tracker'!C37="","",COUNTIF('Deal Tracker'!$C$2:C37,'Deal Tracker'!C37))</f>
        <v/>
      </c>
      <c r="B37" s="0" t="str">
        <f aca="false">IF(A37="","",'Deal Tracker'!C37&amp;"#"&amp;A37)</f>
        <v/>
      </c>
      <c r="C37" s="0" t="str">
        <f aca="false">IF('Deal Tracker'!B37="","",'Deal Tracker'!B37&amp;IF('Deal Tracker'!D37=""," — size TBD"," — $"&amp;TEXT('Deal Tracker'!D37,"#,##0")&amp;"M"))</f>
        <v/>
      </c>
    </row>
    <row r="38" customFormat="false" ht="15" hidden="false" customHeight="false" outlineLevel="0" collapsed="false">
      <c r="A38" s="0" t="str">
        <f aca="false">IF('Deal Tracker'!C38="","",COUNTIF('Deal Tracker'!$C$2:C38,'Deal Tracker'!C38))</f>
        <v/>
      </c>
      <c r="B38" s="0" t="str">
        <f aca="false">IF(A38="","",'Deal Tracker'!C38&amp;"#"&amp;A38)</f>
        <v/>
      </c>
      <c r="C38" s="0" t="str">
        <f aca="false">IF('Deal Tracker'!B38="","",'Deal Tracker'!B38&amp;IF('Deal Tracker'!D38=""," — size TBD"," — $"&amp;TEXT('Deal Tracker'!D38,"#,##0")&amp;"M"))</f>
        <v/>
      </c>
    </row>
    <row r="39" customFormat="false" ht="15" hidden="false" customHeight="false" outlineLevel="0" collapsed="false">
      <c r="A39" s="0" t="str">
        <f aca="false">IF('Deal Tracker'!C39="","",COUNTIF('Deal Tracker'!$C$2:C39,'Deal Tracker'!C39))</f>
        <v/>
      </c>
      <c r="B39" s="0" t="str">
        <f aca="false">IF(A39="","",'Deal Tracker'!C39&amp;"#"&amp;A39)</f>
        <v/>
      </c>
      <c r="C39" s="0" t="str">
        <f aca="false">IF('Deal Tracker'!B39="","",'Deal Tracker'!B39&amp;IF('Deal Tracker'!D39=""," — size TBD"," — $"&amp;TEXT('Deal Tracker'!D39,"#,##0")&amp;"M"))</f>
        <v/>
      </c>
    </row>
    <row r="40" customFormat="false" ht="15" hidden="false" customHeight="false" outlineLevel="0" collapsed="false">
      <c r="A40" s="0" t="str">
        <f aca="false">IF('Deal Tracker'!C40="","",COUNTIF('Deal Tracker'!$C$2:C40,'Deal Tracker'!C40))</f>
        <v/>
      </c>
      <c r="B40" s="0" t="str">
        <f aca="false">IF(A40="","",'Deal Tracker'!C40&amp;"#"&amp;A40)</f>
        <v/>
      </c>
      <c r="C40" s="0" t="str">
        <f aca="false">IF('Deal Tracker'!B40="","",'Deal Tracker'!B40&amp;IF('Deal Tracker'!D40=""," — size TBD"," — $"&amp;TEXT('Deal Tracker'!D40,"#,##0")&amp;"M"))</f>
        <v/>
      </c>
    </row>
    <row r="41" customFormat="false" ht="15" hidden="false" customHeight="false" outlineLevel="0" collapsed="false">
      <c r="A41" s="0" t="str">
        <f aca="false">IF('Deal Tracker'!C41="","",COUNTIF('Deal Tracker'!$C$2:C41,'Deal Tracker'!C41))</f>
        <v/>
      </c>
      <c r="B41" s="0" t="str">
        <f aca="false">IF(A41="","",'Deal Tracker'!C41&amp;"#"&amp;A41)</f>
        <v/>
      </c>
      <c r="C41" s="0" t="str">
        <f aca="false">IF('Deal Tracker'!B41="","",'Deal Tracker'!B41&amp;IF('Deal Tracker'!D41=""," — size TBD"," — $"&amp;TEXT('Deal Tracker'!D41,"#,##0")&amp;"M"))</f>
        <v/>
      </c>
    </row>
    <row r="42" customFormat="false" ht="15" hidden="false" customHeight="false" outlineLevel="0" collapsed="false">
      <c r="A42" s="0" t="str">
        <f aca="false">IF('Deal Tracker'!C42="","",COUNTIF('Deal Tracker'!$C$2:C42,'Deal Tracker'!C42))</f>
        <v/>
      </c>
      <c r="B42" s="0" t="str">
        <f aca="false">IF(A42="","",'Deal Tracker'!C42&amp;"#"&amp;A42)</f>
        <v/>
      </c>
      <c r="C42" s="0" t="str">
        <f aca="false">IF('Deal Tracker'!B42="","",'Deal Tracker'!B42&amp;IF('Deal Tracker'!D42=""," — size TBD"," — $"&amp;TEXT('Deal Tracker'!D42,"#,##0")&amp;"M"))</f>
        <v/>
      </c>
    </row>
    <row r="43" customFormat="false" ht="15" hidden="false" customHeight="false" outlineLevel="0" collapsed="false">
      <c r="A43" s="0" t="str">
        <f aca="false">IF('Deal Tracker'!C43="","",COUNTIF('Deal Tracker'!$C$2:C43,'Deal Tracker'!C43))</f>
        <v/>
      </c>
      <c r="B43" s="0" t="str">
        <f aca="false">IF(A43="","",'Deal Tracker'!C43&amp;"#"&amp;A43)</f>
        <v/>
      </c>
      <c r="C43" s="0" t="str">
        <f aca="false">IF('Deal Tracker'!B43="","",'Deal Tracker'!B43&amp;IF('Deal Tracker'!D43=""," — size TBD"," — $"&amp;TEXT('Deal Tracker'!D43,"#,##0")&amp;"M"))</f>
        <v/>
      </c>
    </row>
    <row r="44" customFormat="false" ht="15" hidden="false" customHeight="false" outlineLevel="0" collapsed="false">
      <c r="A44" s="0" t="str">
        <f aca="false">IF('Deal Tracker'!C44="","",COUNTIF('Deal Tracker'!$C$2:C44,'Deal Tracker'!C44))</f>
        <v/>
      </c>
      <c r="B44" s="0" t="str">
        <f aca="false">IF(A44="","",'Deal Tracker'!C44&amp;"#"&amp;A44)</f>
        <v/>
      </c>
      <c r="C44" s="0" t="str">
        <f aca="false">IF('Deal Tracker'!B44="","",'Deal Tracker'!B44&amp;IF('Deal Tracker'!D44=""," — size TBD"," — $"&amp;TEXT('Deal Tracker'!D44,"#,##0")&amp;"M"))</f>
        <v/>
      </c>
    </row>
    <row r="45" customFormat="false" ht="15" hidden="false" customHeight="false" outlineLevel="0" collapsed="false">
      <c r="A45" s="0" t="str">
        <f aca="false">IF('Deal Tracker'!C45="","",COUNTIF('Deal Tracker'!$C$2:C45,'Deal Tracker'!C45))</f>
        <v/>
      </c>
      <c r="B45" s="0" t="str">
        <f aca="false">IF(A45="","",'Deal Tracker'!C45&amp;"#"&amp;A45)</f>
        <v/>
      </c>
      <c r="C45" s="0" t="str">
        <f aca="false">IF('Deal Tracker'!B45="","",'Deal Tracker'!B45&amp;IF('Deal Tracker'!D45=""," — size TBD"," — $"&amp;TEXT('Deal Tracker'!D45,"#,##0")&amp;"M"))</f>
        <v/>
      </c>
    </row>
    <row r="46" customFormat="false" ht="15" hidden="false" customHeight="false" outlineLevel="0" collapsed="false">
      <c r="A46" s="0" t="str">
        <f aca="false">IF('Deal Tracker'!C46="","",COUNTIF('Deal Tracker'!$C$2:C46,'Deal Tracker'!C46))</f>
        <v/>
      </c>
      <c r="B46" s="0" t="str">
        <f aca="false">IF(A46="","",'Deal Tracker'!C46&amp;"#"&amp;A46)</f>
        <v/>
      </c>
      <c r="C46" s="0" t="str">
        <f aca="false">IF('Deal Tracker'!B46="","",'Deal Tracker'!B46&amp;IF('Deal Tracker'!D46=""," — size TBD"," — $"&amp;TEXT('Deal Tracker'!D46,"#,##0")&amp;"M"))</f>
        <v/>
      </c>
    </row>
    <row r="47" customFormat="false" ht="15" hidden="false" customHeight="false" outlineLevel="0" collapsed="false">
      <c r="A47" s="0" t="str">
        <f aca="false">IF('Deal Tracker'!C47="","",COUNTIF('Deal Tracker'!$C$2:C47,'Deal Tracker'!C47))</f>
        <v/>
      </c>
      <c r="B47" s="0" t="str">
        <f aca="false">IF(A47="","",'Deal Tracker'!C47&amp;"#"&amp;A47)</f>
        <v/>
      </c>
      <c r="C47" s="0" t="str">
        <f aca="false">IF('Deal Tracker'!B47="","",'Deal Tracker'!B47&amp;IF('Deal Tracker'!D47=""," — size TBD"," — $"&amp;TEXT('Deal Tracker'!D47,"#,##0")&amp;"M"))</f>
        <v/>
      </c>
    </row>
    <row r="48" customFormat="false" ht="15" hidden="false" customHeight="false" outlineLevel="0" collapsed="false">
      <c r="A48" s="0" t="str">
        <f aca="false">IF('Deal Tracker'!C48="","",COUNTIF('Deal Tracker'!$C$2:C48,'Deal Tracker'!C48))</f>
        <v/>
      </c>
      <c r="B48" s="0" t="str">
        <f aca="false">IF(A48="","",'Deal Tracker'!C48&amp;"#"&amp;A48)</f>
        <v/>
      </c>
      <c r="C48" s="0" t="str">
        <f aca="false">IF('Deal Tracker'!B48="","",'Deal Tracker'!B48&amp;IF('Deal Tracker'!D48=""," — size TBD"," — $"&amp;TEXT('Deal Tracker'!D48,"#,##0")&amp;"M"))</f>
        <v/>
      </c>
    </row>
    <row r="49" customFormat="false" ht="15" hidden="false" customHeight="false" outlineLevel="0" collapsed="false">
      <c r="A49" s="0" t="str">
        <f aca="false">IF('Deal Tracker'!C49="","",COUNTIF('Deal Tracker'!$C$2:C49,'Deal Tracker'!C49))</f>
        <v/>
      </c>
      <c r="B49" s="0" t="str">
        <f aca="false">IF(A49="","",'Deal Tracker'!C49&amp;"#"&amp;A49)</f>
        <v/>
      </c>
      <c r="C49" s="0" t="str">
        <f aca="false">IF('Deal Tracker'!B49="","",'Deal Tracker'!B49&amp;IF('Deal Tracker'!D49=""," — size TBD"," — $"&amp;TEXT('Deal Tracker'!D49,"#,##0")&amp;"M"))</f>
        <v/>
      </c>
    </row>
    <row r="50" customFormat="false" ht="15" hidden="false" customHeight="false" outlineLevel="0" collapsed="false">
      <c r="A50" s="0" t="str">
        <f aca="false">IF('Deal Tracker'!C50="","",COUNTIF('Deal Tracker'!$C$2:C50,'Deal Tracker'!C50))</f>
        <v/>
      </c>
      <c r="B50" s="0" t="str">
        <f aca="false">IF(A50="","",'Deal Tracker'!C50&amp;"#"&amp;A50)</f>
        <v/>
      </c>
      <c r="C50" s="0" t="str">
        <f aca="false">IF('Deal Tracker'!B50="","",'Deal Tracker'!B50&amp;IF('Deal Tracker'!D50=""," — size TBD"," — $"&amp;TEXT('Deal Tracker'!D50,"#,##0")&amp;"M"))</f>
        <v/>
      </c>
    </row>
    <row r="51" customFormat="false" ht="15" hidden="false" customHeight="false" outlineLevel="0" collapsed="false">
      <c r="A51" s="0" t="str">
        <f aca="false">IF('Deal Tracker'!C51="","",COUNTIF('Deal Tracker'!$C$2:C51,'Deal Tracker'!C51))</f>
        <v/>
      </c>
      <c r="B51" s="0" t="str">
        <f aca="false">IF(A51="","",'Deal Tracker'!C51&amp;"#"&amp;A51)</f>
        <v/>
      </c>
      <c r="C51" s="0" t="str">
        <f aca="false">IF('Deal Tracker'!B51="","",'Deal Tracker'!B51&amp;IF('Deal Tracker'!D51=""," — size TBD"," — $"&amp;TEXT('Deal Tracker'!D51,"#,##0")&amp;"M"))</f>
        <v/>
      </c>
    </row>
    <row r="52" customFormat="false" ht="15" hidden="false" customHeight="false" outlineLevel="0" collapsed="false">
      <c r="A52" s="0" t="str">
        <f aca="false">IF('Deal Tracker'!C52="","",COUNTIF('Deal Tracker'!$C$2:C52,'Deal Tracker'!C52))</f>
        <v/>
      </c>
      <c r="B52" s="0" t="str">
        <f aca="false">IF(A52="","",'Deal Tracker'!C52&amp;"#"&amp;A52)</f>
        <v/>
      </c>
      <c r="C52" s="0" t="str">
        <f aca="false">IF('Deal Tracker'!B52="","",'Deal Tracker'!B52&amp;IF('Deal Tracker'!D52=""," — size TBD"," — $"&amp;TEXT('Deal Tracker'!D52,"#,##0")&amp;"M"))</f>
        <v/>
      </c>
    </row>
    <row r="53" customFormat="false" ht="15" hidden="false" customHeight="false" outlineLevel="0" collapsed="false">
      <c r="A53" s="0" t="str">
        <f aca="false">IF('Deal Tracker'!C53="","",COUNTIF('Deal Tracker'!$C$2:C53,'Deal Tracker'!C53))</f>
        <v/>
      </c>
      <c r="B53" s="0" t="str">
        <f aca="false">IF(A53="","",'Deal Tracker'!C53&amp;"#"&amp;A53)</f>
        <v/>
      </c>
      <c r="C53" s="0" t="str">
        <f aca="false">IF('Deal Tracker'!B53="","",'Deal Tracker'!B53&amp;IF('Deal Tracker'!D53=""," — size TBD"," — $"&amp;TEXT('Deal Tracker'!D53,"#,##0")&amp;"M"))</f>
        <v/>
      </c>
    </row>
    <row r="54" customFormat="false" ht="15" hidden="false" customHeight="false" outlineLevel="0" collapsed="false">
      <c r="A54" s="0" t="str">
        <f aca="false">IF('Deal Tracker'!C54="","",COUNTIF('Deal Tracker'!$C$2:C54,'Deal Tracker'!C54))</f>
        <v/>
      </c>
      <c r="B54" s="0" t="str">
        <f aca="false">IF(A54="","",'Deal Tracker'!C54&amp;"#"&amp;A54)</f>
        <v/>
      </c>
      <c r="C54" s="0" t="str">
        <f aca="false">IF('Deal Tracker'!B54="","",'Deal Tracker'!B54&amp;IF('Deal Tracker'!D54=""," — size TBD"," — $"&amp;TEXT('Deal Tracker'!D54,"#,##0")&amp;"M"))</f>
        <v/>
      </c>
    </row>
    <row r="55" customFormat="false" ht="15" hidden="false" customHeight="false" outlineLevel="0" collapsed="false">
      <c r="A55" s="0" t="str">
        <f aca="false">IF('Deal Tracker'!C55="","",COUNTIF('Deal Tracker'!$C$2:C55,'Deal Tracker'!C55))</f>
        <v/>
      </c>
      <c r="B55" s="0" t="str">
        <f aca="false">IF(A55="","",'Deal Tracker'!C55&amp;"#"&amp;A55)</f>
        <v/>
      </c>
      <c r="C55" s="0" t="str">
        <f aca="false">IF('Deal Tracker'!B55="","",'Deal Tracker'!B55&amp;IF('Deal Tracker'!D55=""," — size TBD"," — $"&amp;TEXT('Deal Tracker'!D55,"#,##0")&amp;"M"))</f>
        <v/>
      </c>
    </row>
    <row r="56" customFormat="false" ht="15" hidden="false" customHeight="false" outlineLevel="0" collapsed="false">
      <c r="A56" s="0" t="str">
        <f aca="false">IF('Deal Tracker'!C56="","",COUNTIF('Deal Tracker'!$C$2:C56,'Deal Tracker'!C56))</f>
        <v/>
      </c>
      <c r="B56" s="0" t="str">
        <f aca="false">IF(A56="","",'Deal Tracker'!C56&amp;"#"&amp;A56)</f>
        <v/>
      </c>
      <c r="C56" s="0" t="str">
        <f aca="false">IF('Deal Tracker'!B56="","",'Deal Tracker'!B56&amp;IF('Deal Tracker'!D56=""," — size TBD"," — $"&amp;TEXT('Deal Tracker'!D56,"#,##0")&amp;"M"))</f>
        <v/>
      </c>
    </row>
    <row r="57" customFormat="false" ht="15" hidden="false" customHeight="false" outlineLevel="0" collapsed="false">
      <c r="A57" s="0" t="str">
        <f aca="false">IF('Deal Tracker'!C57="","",COUNTIF('Deal Tracker'!$C$2:C57,'Deal Tracker'!C57))</f>
        <v/>
      </c>
      <c r="B57" s="0" t="str">
        <f aca="false">IF(A57="","",'Deal Tracker'!C57&amp;"#"&amp;A57)</f>
        <v/>
      </c>
      <c r="C57" s="0" t="str">
        <f aca="false">IF('Deal Tracker'!B57="","",'Deal Tracker'!B57&amp;IF('Deal Tracker'!D57=""," — size TBD"," — $"&amp;TEXT('Deal Tracker'!D57,"#,##0")&amp;"M"))</f>
        <v/>
      </c>
    </row>
    <row r="58" customFormat="false" ht="15" hidden="false" customHeight="false" outlineLevel="0" collapsed="false">
      <c r="A58" s="0" t="str">
        <f aca="false">IF('Deal Tracker'!C58="","",COUNTIF('Deal Tracker'!$C$2:C58,'Deal Tracker'!C58))</f>
        <v/>
      </c>
      <c r="B58" s="0" t="str">
        <f aca="false">IF(A58="","",'Deal Tracker'!C58&amp;"#"&amp;A58)</f>
        <v/>
      </c>
      <c r="C58" s="0" t="str">
        <f aca="false">IF('Deal Tracker'!B58="","",'Deal Tracker'!B58&amp;IF('Deal Tracker'!D58=""," — size TBD"," — $"&amp;TEXT('Deal Tracker'!D58,"#,##0")&amp;"M"))</f>
        <v/>
      </c>
    </row>
    <row r="59" customFormat="false" ht="15" hidden="false" customHeight="false" outlineLevel="0" collapsed="false">
      <c r="A59" s="0" t="str">
        <f aca="false">IF('Deal Tracker'!C59="","",COUNTIF('Deal Tracker'!$C$2:C59,'Deal Tracker'!C59))</f>
        <v/>
      </c>
      <c r="B59" s="0" t="str">
        <f aca="false">IF(A59="","",'Deal Tracker'!C59&amp;"#"&amp;A59)</f>
        <v/>
      </c>
      <c r="C59" s="0" t="str">
        <f aca="false">IF('Deal Tracker'!B59="","",'Deal Tracker'!B59&amp;IF('Deal Tracker'!D59=""," — size TBD"," — $"&amp;TEXT('Deal Tracker'!D59,"#,##0")&amp;"M"))</f>
        <v/>
      </c>
    </row>
    <row r="60" customFormat="false" ht="15" hidden="false" customHeight="false" outlineLevel="0" collapsed="false">
      <c r="A60" s="0" t="str">
        <f aca="false">IF('Deal Tracker'!C60="","",COUNTIF('Deal Tracker'!$C$2:C60,'Deal Tracker'!C60))</f>
        <v/>
      </c>
      <c r="B60" s="0" t="str">
        <f aca="false">IF(A60="","",'Deal Tracker'!C60&amp;"#"&amp;A60)</f>
        <v/>
      </c>
      <c r="C60" s="0" t="str">
        <f aca="false">IF('Deal Tracker'!B60="","",'Deal Tracker'!B60&amp;IF('Deal Tracker'!D60=""," — size TBD"," — $"&amp;TEXT('Deal Tracker'!D60,"#,##0")&amp;"M"))</f>
        <v/>
      </c>
    </row>
    <row r="61" customFormat="false" ht="15" hidden="false" customHeight="false" outlineLevel="0" collapsed="false">
      <c r="A61" s="0" t="str">
        <f aca="false">IF('Deal Tracker'!C61="","",COUNTIF('Deal Tracker'!$C$2:C61,'Deal Tracker'!C61))</f>
        <v/>
      </c>
      <c r="B61" s="0" t="str">
        <f aca="false">IF(A61="","",'Deal Tracker'!C61&amp;"#"&amp;A61)</f>
        <v/>
      </c>
      <c r="C61" s="0" t="str">
        <f aca="false">IF('Deal Tracker'!B61="","",'Deal Tracker'!B61&amp;IF('Deal Tracker'!D61=""," — size TBD"," — $"&amp;TEXT('Deal Tracker'!D61,"#,##0")&amp;"M"))</f>
        <v/>
      </c>
    </row>
    <row r="62" customFormat="false" ht="15" hidden="false" customHeight="false" outlineLevel="0" collapsed="false">
      <c r="A62" s="0" t="str">
        <f aca="false">IF('Deal Tracker'!C62="","",COUNTIF('Deal Tracker'!$C$2:C62,'Deal Tracker'!C62))</f>
        <v/>
      </c>
      <c r="B62" s="0" t="str">
        <f aca="false">IF(A62="","",'Deal Tracker'!C62&amp;"#"&amp;A62)</f>
        <v/>
      </c>
      <c r="C62" s="0" t="str">
        <f aca="false">IF('Deal Tracker'!B62="","",'Deal Tracker'!B62&amp;IF('Deal Tracker'!D62=""," — size TBD"," — $"&amp;TEXT('Deal Tracker'!D62,"#,##0")&amp;"M"))</f>
        <v/>
      </c>
    </row>
    <row r="63" customFormat="false" ht="15" hidden="false" customHeight="false" outlineLevel="0" collapsed="false">
      <c r="A63" s="0" t="str">
        <f aca="false">IF('Deal Tracker'!C63="","",COUNTIF('Deal Tracker'!$C$2:C63,'Deal Tracker'!C63))</f>
        <v/>
      </c>
      <c r="B63" s="0" t="str">
        <f aca="false">IF(A63="","",'Deal Tracker'!C63&amp;"#"&amp;A63)</f>
        <v/>
      </c>
      <c r="C63" s="0" t="str">
        <f aca="false">IF('Deal Tracker'!B63="","",'Deal Tracker'!B63&amp;IF('Deal Tracker'!D63=""," — size TBD"," — $"&amp;TEXT('Deal Tracker'!D63,"#,##0")&amp;"M"))</f>
        <v/>
      </c>
    </row>
    <row r="64" customFormat="false" ht="15" hidden="false" customHeight="false" outlineLevel="0" collapsed="false">
      <c r="A64" s="0" t="str">
        <f aca="false">IF('Deal Tracker'!C64="","",COUNTIF('Deal Tracker'!$C$2:C64,'Deal Tracker'!C64))</f>
        <v/>
      </c>
      <c r="B64" s="0" t="str">
        <f aca="false">IF(A64="","",'Deal Tracker'!C64&amp;"#"&amp;A64)</f>
        <v/>
      </c>
      <c r="C64" s="0" t="str">
        <f aca="false">IF('Deal Tracker'!B64="","",'Deal Tracker'!B64&amp;IF('Deal Tracker'!D64=""," — size TBD"," — $"&amp;TEXT('Deal Tracker'!D64,"#,##0")&amp;"M"))</f>
        <v/>
      </c>
    </row>
    <row r="65" customFormat="false" ht="15" hidden="false" customHeight="false" outlineLevel="0" collapsed="false">
      <c r="A65" s="0" t="str">
        <f aca="false">IF('Deal Tracker'!C65="","",COUNTIF('Deal Tracker'!$C$2:C65,'Deal Tracker'!C65))</f>
        <v/>
      </c>
      <c r="B65" s="0" t="str">
        <f aca="false">IF(A65="","",'Deal Tracker'!C65&amp;"#"&amp;A65)</f>
        <v/>
      </c>
      <c r="C65" s="0" t="str">
        <f aca="false">IF('Deal Tracker'!B65="","",'Deal Tracker'!B65&amp;IF('Deal Tracker'!D65=""," — size TBD"," — $"&amp;TEXT('Deal Tracker'!D65,"#,##0")&amp;"M"))</f>
        <v/>
      </c>
    </row>
    <row r="66" customFormat="false" ht="15" hidden="false" customHeight="false" outlineLevel="0" collapsed="false">
      <c r="A66" s="0" t="str">
        <f aca="false">IF('Deal Tracker'!C66="","",COUNTIF('Deal Tracker'!$C$2:C66,'Deal Tracker'!C66))</f>
        <v/>
      </c>
      <c r="B66" s="0" t="str">
        <f aca="false">IF(A66="","",'Deal Tracker'!C66&amp;"#"&amp;A66)</f>
        <v/>
      </c>
      <c r="C66" s="0" t="str">
        <f aca="false">IF('Deal Tracker'!B66="","",'Deal Tracker'!B66&amp;IF('Deal Tracker'!D66=""," — size TBD"," — $"&amp;TEXT('Deal Tracker'!D66,"#,##0")&amp;"M"))</f>
        <v/>
      </c>
    </row>
    <row r="67" customFormat="false" ht="15" hidden="false" customHeight="false" outlineLevel="0" collapsed="false">
      <c r="A67" s="0" t="str">
        <f aca="false">IF('Deal Tracker'!C67="","",COUNTIF('Deal Tracker'!$C$2:C67,'Deal Tracker'!C67))</f>
        <v/>
      </c>
      <c r="B67" s="0" t="str">
        <f aca="false">IF(A67="","",'Deal Tracker'!C67&amp;"#"&amp;A67)</f>
        <v/>
      </c>
      <c r="C67" s="0" t="str">
        <f aca="false">IF('Deal Tracker'!B67="","",'Deal Tracker'!B67&amp;IF('Deal Tracker'!D67=""," — size TBD"," — $"&amp;TEXT('Deal Tracker'!D67,"#,##0")&amp;"M"))</f>
        <v/>
      </c>
    </row>
    <row r="68" customFormat="false" ht="15" hidden="false" customHeight="false" outlineLevel="0" collapsed="false">
      <c r="A68" s="0" t="str">
        <f aca="false">IF('Deal Tracker'!C68="","",COUNTIF('Deal Tracker'!$C$2:C68,'Deal Tracker'!C68))</f>
        <v/>
      </c>
      <c r="B68" s="0" t="str">
        <f aca="false">IF(A68="","",'Deal Tracker'!C68&amp;"#"&amp;A68)</f>
        <v/>
      </c>
      <c r="C68" s="0" t="str">
        <f aca="false">IF('Deal Tracker'!B68="","",'Deal Tracker'!B68&amp;IF('Deal Tracker'!D68=""," — size TBD"," — $"&amp;TEXT('Deal Tracker'!D68,"#,##0")&amp;"M"))</f>
        <v/>
      </c>
    </row>
    <row r="69" customFormat="false" ht="15" hidden="false" customHeight="false" outlineLevel="0" collapsed="false">
      <c r="A69" s="0" t="str">
        <f aca="false">IF('Deal Tracker'!C69="","",COUNTIF('Deal Tracker'!$C$2:C69,'Deal Tracker'!C69))</f>
        <v/>
      </c>
      <c r="B69" s="0" t="str">
        <f aca="false">IF(A69="","",'Deal Tracker'!C69&amp;"#"&amp;A69)</f>
        <v/>
      </c>
      <c r="C69" s="0" t="str">
        <f aca="false">IF('Deal Tracker'!B69="","",'Deal Tracker'!B69&amp;IF('Deal Tracker'!D69=""," — size TBD"," — $"&amp;TEXT('Deal Tracker'!D69,"#,##0")&amp;"M"))</f>
        <v/>
      </c>
    </row>
    <row r="70" customFormat="false" ht="15" hidden="false" customHeight="false" outlineLevel="0" collapsed="false">
      <c r="A70" s="0" t="str">
        <f aca="false">IF('Deal Tracker'!C70="","",COUNTIF('Deal Tracker'!$C$2:C70,'Deal Tracker'!C70))</f>
        <v/>
      </c>
      <c r="B70" s="0" t="str">
        <f aca="false">IF(A70="","",'Deal Tracker'!C70&amp;"#"&amp;A70)</f>
        <v/>
      </c>
      <c r="C70" s="0" t="str">
        <f aca="false">IF('Deal Tracker'!B70="","",'Deal Tracker'!B70&amp;IF('Deal Tracker'!D70=""," — size TBD"," — $"&amp;TEXT('Deal Tracker'!D70,"#,##0")&amp;"M"))</f>
        <v/>
      </c>
    </row>
    <row r="71" customFormat="false" ht="15" hidden="false" customHeight="false" outlineLevel="0" collapsed="false">
      <c r="A71" s="0" t="str">
        <f aca="false">IF('Deal Tracker'!C71="","",COUNTIF('Deal Tracker'!$C$2:C71,'Deal Tracker'!C71))</f>
        <v/>
      </c>
      <c r="B71" s="0" t="str">
        <f aca="false">IF(A71="","",'Deal Tracker'!C71&amp;"#"&amp;A71)</f>
        <v/>
      </c>
      <c r="C71" s="0" t="str">
        <f aca="false">IF('Deal Tracker'!B71="","",'Deal Tracker'!B71&amp;IF('Deal Tracker'!D71=""," — size TBD"," — $"&amp;TEXT('Deal Tracker'!D71,"#,##0")&amp;"M"))</f>
        <v/>
      </c>
    </row>
    <row r="72" customFormat="false" ht="15" hidden="false" customHeight="false" outlineLevel="0" collapsed="false">
      <c r="A72" s="0" t="str">
        <f aca="false">IF('Deal Tracker'!C72="","",COUNTIF('Deal Tracker'!$C$2:C72,'Deal Tracker'!C72))</f>
        <v/>
      </c>
      <c r="B72" s="0" t="str">
        <f aca="false">IF(A72="","",'Deal Tracker'!C72&amp;"#"&amp;A72)</f>
        <v/>
      </c>
      <c r="C72" s="0" t="str">
        <f aca="false">IF('Deal Tracker'!B72="","",'Deal Tracker'!B72&amp;IF('Deal Tracker'!D72=""," — size TBD"," — $"&amp;TEXT('Deal Tracker'!D72,"#,##0")&amp;"M"))</f>
        <v/>
      </c>
    </row>
    <row r="73" customFormat="false" ht="15" hidden="false" customHeight="false" outlineLevel="0" collapsed="false">
      <c r="A73" s="0" t="str">
        <f aca="false">IF('Deal Tracker'!C73="","",COUNTIF('Deal Tracker'!$C$2:C73,'Deal Tracker'!C73))</f>
        <v/>
      </c>
      <c r="B73" s="0" t="str">
        <f aca="false">IF(A73="","",'Deal Tracker'!C73&amp;"#"&amp;A73)</f>
        <v/>
      </c>
      <c r="C73" s="0" t="str">
        <f aca="false">IF('Deal Tracker'!B73="","",'Deal Tracker'!B73&amp;IF('Deal Tracker'!D73=""," — size TBD"," — $"&amp;TEXT('Deal Tracker'!D73,"#,##0")&amp;"M"))</f>
        <v/>
      </c>
    </row>
    <row r="74" customFormat="false" ht="15" hidden="false" customHeight="false" outlineLevel="0" collapsed="false">
      <c r="A74" s="0" t="str">
        <f aca="false">IF('Deal Tracker'!C74="","",COUNTIF('Deal Tracker'!$C$2:C74,'Deal Tracker'!C74))</f>
        <v/>
      </c>
      <c r="B74" s="0" t="str">
        <f aca="false">IF(A74="","",'Deal Tracker'!C74&amp;"#"&amp;A74)</f>
        <v/>
      </c>
      <c r="C74" s="0" t="str">
        <f aca="false">IF('Deal Tracker'!B74="","",'Deal Tracker'!B74&amp;IF('Deal Tracker'!D74=""," — size TBD"," — $"&amp;TEXT('Deal Tracker'!D74,"#,##0")&amp;"M"))</f>
        <v/>
      </c>
    </row>
    <row r="75" customFormat="false" ht="15" hidden="false" customHeight="false" outlineLevel="0" collapsed="false">
      <c r="A75" s="0" t="str">
        <f aca="false">IF('Deal Tracker'!C75="","",COUNTIF('Deal Tracker'!$C$2:C75,'Deal Tracker'!C75))</f>
        <v/>
      </c>
      <c r="B75" s="0" t="str">
        <f aca="false">IF(A75="","",'Deal Tracker'!C75&amp;"#"&amp;A75)</f>
        <v/>
      </c>
      <c r="C75" s="0" t="str">
        <f aca="false">IF('Deal Tracker'!B75="","",'Deal Tracker'!B75&amp;IF('Deal Tracker'!D75=""," — size TBD"," — $"&amp;TEXT('Deal Tracker'!D75,"#,##0")&amp;"M"))</f>
        <v/>
      </c>
    </row>
    <row r="76" customFormat="false" ht="15" hidden="false" customHeight="false" outlineLevel="0" collapsed="false">
      <c r="A76" s="0" t="str">
        <f aca="false">IF('Deal Tracker'!C76="","",COUNTIF('Deal Tracker'!$C$2:C76,'Deal Tracker'!C76))</f>
        <v/>
      </c>
      <c r="B76" s="0" t="str">
        <f aca="false">IF(A76="","",'Deal Tracker'!C76&amp;"#"&amp;A76)</f>
        <v/>
      </c>
      <c r="C76" s="0" t="str">
        <f aca="false">IF('Deal Tracker'!B76="","",'Deal Tracker'!B76&amp;IF('Deal Tracker'!D76=""," — size TBD"," — $"&amp;TEXT('Deal Tracker'!D76,"#,##0")&amp;"M"))</f>
        <v/>
      </c>
    </row>
    <row r="77" customFormat="false" ht="15" hidden="false" customHeight="false" outlineLevel="0" collapsed="false">
      <c r="A77" s="0" t="str">
        <f aca="false">IF('Deal Tracker'!C77="","",COUNTIF('Deal Tracker'!$C$2:C77,'Deal Tracker'!C77))</f>
        <v/>
      </c>
      <c r="B77" s="0" t="str">
        <f aca="false">IF(A77="","",'Deal Tracker'!C77&amp;"#"&amp;A77)</f>
        <v/>
      </c>
      <c r="C77" s="0" t="str">
        <f aca="false">IF('Deal Tracker'!B77="","",'Deal Tracker'!B77&amp;IF('Deal Tracker'!D77=""," — size TBD"," — $"&amp;TEXT('Deal Tracker'!D77,"#,##0")&amp;"M"))</f>
        <v/>
      </c>
    </row>
    <row r="78" customFormat="false" ht="15" hidden="false" customHeight="false" outlineLevel="0" collapsed="false">
      <c r="A78" s="0" t="str">
        <f aca="false">IF('Deal Tracker'!C78="","",COUNTIF('Deal Tracker'!$C$2:C78,'Deal Tracker'!C78))</f>
        <v/>
      </c>
      <c r="B78" s="0" t="str">
        <f aca="false">IF(A78="","",'Deal Tracker'!C78&amp;"#"&amp;A78)</f>
        <v/>
      </c>
      <c r="C78" s="0" t="str">
        <f aca="false">IF('Deal Tracker'!B78="","",'Deal Tracker'!B78&amp;IF('Deal Tracker'!D78=""," — size TBD"," — $"&amp;TEXT('Deal Tracker'!D78,"#,##0")&amp;"M"))</f>
        <v/>
      </c>
    </row>
    <row r="79" customFormat="false" ht="15" hidden="false" customHeight="false" outlineLevel="0" collapsed="false">
      <c r="A79" s="0" t="str">
        <f aca="false">IF('Deal Tracker'!C79="","",COUNTIF('Deal Tracker'!$C$2:C79,'Deal Tracker'!C79))</f>
        <v/>
      </c>
      <c r="B79" s="0" t="str">
        <f aca="false">IF(A79="","",'Deal Tracker'!C79&amp;"#"&amp;A79)</f>
        <v/>
      </c>
      <c r="C79" s="0" t="str">
        <f aca="false">IF('Deal Tracker'!B79="","",'Deal Tracker'!B79&amp;IF('Deal Tracker'!D79=""," — size TBD"," — $"&amp;TEXT('Deal Tracker'!D79,"#,##0")&amp;"M"))</f>
        <v/>
      </c>
    </row>
    <row r="80" customFormat="false" ht="15" hidden="false" customHeight="false" outlineLevel="0" collapsed="false">
      <c r="A80" s="0" t="str">
        <f aca="false">IF('Deal Tracker'!C80="","",COUNTIF('Deal Tracker'!$C$2:C80,'Deal Tracker'!C80))</f>
        <v/>
      </c>
      <c r="B80" s="0" t="str">
        <f aca="false">IF(A80="","",'Deal Tracker'!C80&amp;"#"&amp;A80)</f>
        <v/>
      </c>
      <c r="C80" s="0" t="str">
        <f aca="false">IF('Deal Tracker'!B80="","",'Deal Tracker'!B80&amp;IF('Deal Tracker'!D80=""," — size TBD"," — $"&amp;TEXT('Deal Tracker'!D80,"#,##0")&amp;"M"))</f>
        <v/>
      </c>
    </row>
    <row r="81" customFormat="false" ht="15" hidden="false" customHeight="false" outlineLevel="0" collapsed="false">
      <c r="A81" s="0" t="str">
        <f aca="false">IF('Deal Tracker'!C81="","",COUNTIF('Deal Tracker'!$C$2:C81,'Deal Tracker'!C81))</f>
        <v/>
      </c>
      <c r="B81" s="0" t="str">
        <f aca="false">IF(A81="","",'Deal Tracker'!C81&amp;"#"&amp;A81)</f>
        <v/>
      </c>
      <c r="C81" s="0" t="str">
        <f aca="false">IF('Deal Tracker'!B81="","",'Deal Tracker'!B81&amp;IF('Deal Tracker'!D81=""," — size TBD"," — $"&amp;TEXT('Deal Tracker'!D81,"#,##0")&amp;"M"))</f>
        <v/>
      </c>
    </row>
    <row r="82" customFormat="false" ht="15" hidden="false" customHeight="false" outlineLevel="0" collapsed="false">
      <c r="A82" s="0" t="str">
        <f aca="false">IF('Deal Tracker'!C82="","",COUNTIF('Deal Tracker'!$C$2:C82,'Deal Tracker'!C82))</f>
        <v/>
      </c>
      <c r="B82" s="0" t="str">
        <f aca="false">IF(A82="","",'Deal Tracker'!C82&amp;"#"&amp;A82)</f>
        <v/>
      </c>
      <c r="C82" s="0" t="str">
        <f aca="false">IF('Deal Tracker'!B82="","",'Deal Tracker'!B82&amp;IF('Deal Tracker'!D82=""," — size TBD"," — $"&amp;TEXT('Deal Tracker'!D82,"#,##0")&amp;"M"))</f>
        <v/>
      </c>
    </row>
    <row r="83" customFormat="false" ht="15" hidden="false" customHeight="false" outlineLevel="0" collapsed="false">
      <c r="A83" s="0" t="str">
        <f aca="false">IF('Deal Tracker'!C83="","",COUNTIF('Deal Tracker'!$C$2:C83,'Deal Tracker'!C83))</f>
        <v/>
      </c>
      <c r="B83" s="0" t="str">
        <f aca="false">IF(A83="","",'Deal Tracker'!C83&amp;"#"&amp;A83)</f>
        <v/>
      </c>
      <c r="C83" s="0" t="str">
        <f aca="false">IF('Deal Tracker'!B83="","",'Deal Tracker'!B83&amp;IF('Deal Tracker'!D83=""," — size TBD"," — $"&amp;TEXT('Deal Tracker'!D83,"#,##0")&amp;"M"))</f>
        <v/>
      </c>
    </row>
    <row r="84" customFormat="false" ht="15" hidden="false" customHeight="false" outlineLevel="0" collapsed="false">
      <c r="A84" s="0" t="str">
        <f aca="false">IF('Deal Tracker'!C84="","",COUNTIF('Deal Tracker'!$C$2:C84,'Deal Tracker'!C84))</f>
        <v/>
      </c>
      <c r="B84" s="0" t="str">
        <f aca="false">IF(A84="","",'Deal Tracker'!C84&amp;"#"&amp;A84)</f>
        <v/>
      </c>
      <c r="C84" s="0" t="str">
        <f aca="false">IF('Deal Tracker'!B84="","",'Deal Tracker'!B84&amp;IF('Deal Tracker'!D84=""," — size TBD"," — $"&amp;TEXT('Deal Tracker'!D84,"#,##0")&amp;"M"))</f>
        <v/>
      </c>
    </row>
    <row r="85" customFormat="false" ht="15" hidden="false" customHeight="false" outlineLevel="0" collapsed="false">
      <c r="A85" s="0" t="str">
        <f aca="false">IF('Deal Tracker'!C85="","",COUNTIF('Deal Tracker'!$C$2:C85,'Deal Tracker'!C85))</f>
        <v/>
      </c>
      <c r="B85" s="0" t="str">
        <f aca="false">IF(A85="","",'Deal Tracker'!C85&amp;"#"&amp;A85)</f>
        <v/>
      </c>
      <c r="C85" s="0" t="str">
        <f aca="false">IF('Deal Tracker'!B85="","",'Deal Tracker'!B85&amp;IF('Deal Tracker'!D85=""," — size TBD"," — $"&amp;TEXT('Deal Tracker'!D85,"#,##0")&amp;"M"))</f>
        <v/>
      </c>
    </row>
    <row r="86" customFormat="false" ht="15" hidden="false" customHeight="false" outlineLevel="0" collapsed="false">
      <c r="A86" s="0" t="str">
        <f aca="false">IF('Deal Tracker'!C86="","",COUNTIF('Deal Tracker'!$C$2:C86,'Deal Tracker'!C86))</f>
        <v/>
      </c>
      <c r="B86" s="0" t="str">
        <f aca="false">IF(A86="","",'Deal Tracker'!C86&amp;"#"&amp;A86)</f>
        <v/>
      </c>
      <c r="C86" s="0" t="str">
        <f aca="false">IF('Deal Tracker'!B86="","",'Deal Tracker'!B86&amp;IF('Deal Tracker'!D86=""," — size TBD"," — $"&amp;TEXT('Deal Tracker'!D86,"#,##0")&amp;"M"))</f>
        <v/>
      </c>
    </row>
    <row r="87" customFormat="false" ht="15" hidden="false" customHeight="false" outlineLevel="0" collapsed="false">
      <c r="A87" s="0" t="str">
        <f aca="false">IF('Deal Tracker'!C87="","",COUNTIF('Deal Tracker'!$C$2:C87,'Deal Tracker'!C87))</f>
        <v/>
      </c>
      <c r="B87" s="0" t="str">
        <f aca="false">IF(A87="","",'Deal Tracker'!C87&amp;"#"&amp;A87)</f>
        <v/>
      </c>
      <c r="C87" s="0" t="str">
        <f aca="false">IF('Deal Tracker'!B87="","",'Deal Tracker'!B87&amp;IF('Deal Tracker'!D87=""," — size TBD"," — $"&amp;TEXT('Deal Tracker'!D87,"#,##0")&amp;"M"))</f>
        <v/>
      </c>
    </row>
    <row r="88" customFormat="false" ht="15" hidden="false" customHeight="false" outlineLevel="0" collapsed="false">
      <c r="A88" s="0" t="str">
        <f aca="false">IF('Deal Tracker'!C88="","",COUNTIF('Deal Tracker'!$C$2:C88,'Deal Tracker'!C88))</f>
        <v/>
      </c>
      <c r="B88" s="0" t="str">
        <f aca="false">IF(A88="","",'Deal Tracker'!C88&amp;"#"&amp;A88)</f>
        <v/>
      </c>
      <c r="C88" s="0" t="str">
        <f aca="false">IF('Deal Tracker'!B88="","",'Deal Tracker'!B88&amp;IF('Deal Tracker'!D88=""," — size TBD"," — $"&amp;TEXT('Deal Tracker'!D88,"#,##0")&amp;"M"))</f>
        <v/>
      </c>
    </row>
    <row r="89" customFormat="false" ht="15" hidden="false" customHeight="false" outlineLevel="0" collapsed="false">
      <c r="A89" s="0" t="str">
        <f aca="false">IF('Deal Tracker'!C89="","",COUNTIF('Deal Tracker'!$C$2:C89,'Deal Tracker'!C89))</f>
        <v/>
      </c>
      <c r="B89" s="0" t="str">
        <f aca="false">IF(A89="","",'Deal Tracker'!C89&amp;"#"&amp;A89)</f>
        <v/>
      </c>
      <c r="C89" s="0" t="str">
        <f aca="false">IF('Deal Tracker'!B89="","",'Deal Tracker'!B89&amp;IF('Deal Tracker'!D89=""," — size TBD"," — $"&amp;TEXT('Deal Tracker'!D89,"#,##0")&amp;"M"))</f>
        <v/>
      </c>
    </row>
    <row r="90" customFormat="false" ht="15" hidden="false" customHeight="false" outlineLevel="0" collapsed="false">
      <c r="A90" s="0" t="str">
        <f aca="false">IF('Deal Tracker'!C90="","",COUNTIF('Deal Tracker'!$C$2:C90,'Deal Tracker'!C90))</f>
        <v/>
      </c>
      <c r="B90" s="0" t="str">
        <f aca="false">IF(A90="","",'Deal Tracker'!C90&amp;"#"&amp;A90)</f>
        <v/>
      </c>
      <c r="C90" s="0" t="str">
        <f aca="false">IF('Deal Tracker'!B90="","",'Deal Tracker'!B90&amp;IF('Deal Tracker'!D90=""," — size TBD"," — $"&amp;TEXT('Deal Tracker'!D90,"#,##0")&amp;"M"))</f>
        <v/>
      </c>
    </row>
    <row r="91" customFormat="false" ht="15" hidden="false" customHeight="false" outlineLevel="0" collapsed="false">
      <c r="A91" s="0" t="str">
        <f aca="false">IF('Deal Tracker'!C91="","",COUNTIF('Deal Tracker'!$C$2:C91,'Deal Tracker'!C91))</f>
        <v/>
      </c>
      <c r="B91" s="0" t="str">
        <f aca="false">IF(A91="","",'Deal Tracker'!C91&amp;"#"&amp;A91)</f>
        <v/>
      </c>
      <c r="C91" s="0" t="str">
        <f aca="false">IF('Deal Tracker'!B91="","",'Deal Tracker'!B91&amp;IF('Deal Tracker'!D91=""," — size TBD"," — $"&amp;TEXT('Deal Tracker'!D91,"#,##0")&amp;"M"))</f>
        <v/>
      </c>
    </row>
    <row r="92" customFormat="false" ht="15" hidden="false" customHeight="false" outlineLevel="0" collapsed="false">
      <c r="A92" s="0" t="str">
        <f aca="false">IF('Deal Tracker'!C92="","",COUNTIF('Deal Tracker'!$C$2:C92,'Deal Tracker'!C92))</f>
        <v/>
      </c>
      <c r="B92" s="0" t="str">
        <f aca="false">IF(A92="","",'Deal Tracker'!C92&amp;"#"&amp;A92)</f>
        <v/>
      </c>
      <c r="C92" s="0" t="str">
        <f aca="false">IF('Deal Tracker'!B92="","",'Deal Tracker'!B92&amp;IF('Deal Tracker'!D92=""," — size TBD"," — $"&amp;TEXT('Deal Tracker'!D92,"#,##0")&amp;"M"))</f>
        <v/>
      </c>
    </row>
    <row r="93" customFormat="false" ht="15" hidden="false" customHeight="false" outlineLevel="0" collapsed="false">
      <c r="A93" s="0" t="str">
        <f aca="false">IF('Deal Tracker'!C93="","",COUNTIF('Deal Tracker'!$C$2:C93,'Deal Tracker'!C93))</f>
        <v/>
      </c>
      <c r="B93" s="0" t="str">
        <f aca="false">IF(A93="","",'Deal Tracker'!C93&amp;"#"&amp;A93)</f>
        <v/>
      </c>
      <c r="C93" s="0" t="str">
        <f aca="false">IF('Deal Tracker'!B93="","",'Deal Tracker'!B93&amp;IF('Deal Tracker'!D93=""," — size TBD"," — $"&amp;TEXT('Deal Tracker'!D93,"#,##0")&amp;"M"))</f>
        <v/>
      </c>
    </row>
    <row r="94" customFormat="false" ht="15" hidden="false" customHeight="false" outlineLevel="0" collapsed="false">
      <c r="A94" s="0" t="str">
        <f aca="false">IF('Deal Tracker'!C94="","",COUNTIF('Deal Tracker'!$C$2:C94,'Deal Tracker'!C94))</f>
        <v/>
      </c>
      <c r="B94" s="0" t="str">
        <f aca="false">IF(A94="","",'Deal Tracker'!C94&amp;"#"&amp;A94)</f>
        <v/>
      </c>
      <c r="C94" s="0" t="str">
        <f aca="false">IF('Deal Tracker'!B94="","",'Deal Tracker'!B94&amp;IF('Deal Tracker'!D94=""," — size TBD"," — $"&amp;TEXT('Deal Tracker'!D94,"#,##0")&amp;"M"))</f>
        <v/>
      </c>
    </row>
    <row r="95" customFormat="false" ht="15" hidden="false" customHeight="false" outlineLevel="0" collapsed="false">
      <c r="A95" s="0" t="str">
        <f aca="false">IF('Deal Tracker'!C95="","",COUNTIF('Deal Tracker'!$C$2:C95,'Deal Tracker'!C95))</f>
        <v/>
      </c>
      <c r="B95" s="0" t="str">
        <f aca="false">IF(A95="","",'Deal Tracker'!C95&amp;"#"&amp;A95)</f>
        <v/>
      </c>
      <c r="C95" s="0" t="str">
        <f aca="false">IF('Deal Tracker'!B95="","",'Deal Tracker'!B95&amp;IF('Deal Tracker'!D95=""," — size TBD"," — $"&amp;TEXT('Deal Tracker'!D95,"#,##0")&amp;"M"))</f>
        <v/>
      </c>
    </row>
    <row r="96" customFormat="false" ht="15" hidden="false" customHeight="false" outlineLevel="0" collapsed="false">
      <c r="A96" s="0" t="str">
        <f aca="false">IF('Deal Tracker'!C96="","",COUNTIF('Deal Tracker'!$C$2:C96,'Deal Tracker'!C96))</f>
        <v/>
      </c>
      <c r="B96" s="0" t="str">
        <f aca="false">IF(A96="","",'Deal Tracker'!C96&amp;"#"&amp;A96)</f>
        <v/>
      </c>
      <c r="C96" s="0" t="str">
        <f aca="false">IF('Deal Tracker'!B96="","",'Deal Tracker'!B96&amp;IF('Deal Tracker'!D96=""," — size TBD"," — $"&amp;TEXT('Deal Tracker'!D96,"#,##0")&amp;"M"))</f>
        <v/>
      </c>
    </row>
    <row r="97" customFormat="false" ht="15" hidden="false" customHeight="false" outlineLevel="0" collapsed="false">
      <c r="A97" s="0" t="str">
        <f aca="false">IF('Deal Tracker'!C97="","",COUNTIF('Deal Tracker'!$C$2:C97,'Deal Tracker'!C97))</f>
        <v/>
      </c>
      <c r="B97" s="0" t="str">
        <f aca="false">IF(A97="","",'Deal Tracker'!C97&amp;"#"&amp;A97)</f>
        <v/>
      </c>
      <c r="C97" s="0" t="str">
        <f aca="false">IF('Deal Tracker'!B97="","",'Deal Tracker'!B97&amp;IF('Deal Tracker'!D97=""," — size TBD"," — $"&amp;TEXT('Deal Tracker'!D97,"#,##0")&amp;"M"))</f>
        <v/>
      </c>
    </row>
    <row r="98" customFormat="false" ht="15" hidden="false" customHeight="false" outlineLevel="0" collapsed="false">
      <c r="A98" s="0" t="str">
        <f aca="false">IF('Deal Tracker'!C98="","",COUNTIF('Deal Tracker'!$C$2:C98,'Deal Tracker'!C98))</f>
        <v/>
      </c>
      <c r="B98" s="0" t="str">
        <f aca="false">IF(A98="","",'Deal Tracker'!C98&amp;"#"&amp;A98)</f>
        <v/>
      </c>
      <c r="C98" s="0" t="str">
        <f aca="false">IF('Deal Tracker'!B98="","",'Deal Tracker'!B98&amp;IF('Deal Tracker'!D98=""," — size TBD"," — $"&amp;TEXT('Deal Tracker'!D98,"#,##0")&amp;"M"))</f>
        <v/>
      </c>
    </row>
    <row r="99" customFormat="false" ht="15" hidden="false" customHeight="false" outlineLevel="0" collapsed="false">
      <c r="A99" s="0" t="str">
        <f aca="false">IF('Deal Tracker'!C99="","",COUNTIF('Deal Tracker'!$C$2:C99,'Deal Tracker'!C99))</f>
        <v/>
      </c>
      <c r="B99" s="0" t="str">
        <f aca="false">IF(A99="","",'Deal Tracker'!C99&amp;"#"&amp;A99)</f>
        <v/>
      </c>
      <c r="C99" s="0" t="str">
        <f aca="false">IF('Deal Tracker'!B99="","",'Deal Tracker'!B99&amp;IF('Deal Tracker'!D99=""," — size TBD"," — $"&amp;TEXT('Deal Tracker'!D99,"#,##0")&amp;"M"))</f>
        <v/>
      </c>
    </row>
    <row r="100" customFormat="false" ht="15" hidden="false" customHeight="false" outlineLevel="0" collapsed="false">
      <c r="A100" s="0" t="str">
        <f aca="false">IF('Deal Tracker'!C100="","",COUNTIF('Deal Tracker'!$C$2:C100,'Deal Tracker'!C100))</f>
        <v/>
      </c>
      <c r="B100" s="0" t="str">
        <f aca="false">IF(A100="","",'Deal Tracker'!C100&amp;"#"&amp;A100)</f>
        <v/>
      </c>
      <c r="C100" s="0" t="str">
        <f aca="false">IF('Deal Tracker'!B100="","",'Deal Tracker'!B100&amp;IF('Deal Tracker'!D100=""," — size TBD"," — $"&amp;TEXT('Deal Tracker'!D100,"#,##0")&amp;"M"))</f>
        <v/>
      </c>
    </row>
    <row r="101" customFormat="false" ht="15" hidden="false" customHeight="false" outlineLevel="0" collapsed="false">
      <c r="A101" s="0" t="str">
        <f aca="false">IF('Deal Tracker'!C101="","",COUNTIF('Deal Tracker'!$C$2:C101,'Deal Tracker'!C101))</f>
        <v/>
      </c>
      <c r="B101" s="0" t="str">
        <f aca="false">IF(A101="","",'Deal Tracker'!C101&amp;"#"&amp;A101)</f>
        <v/>
      </c>
      <c r="C101" s="0" t="str">
        <f aca="false">IF('Deal Tracker'!B101="","",'Deal Tracker'!B101&amp;IF('Deal Tracker'!D101=""," — size TBD"," — $"&amp;TEXT('Deal Tracker'!D101,"#,##0")&amp;"M"))</f>
        <v/>
      </c>
    </row>
    <row r="102" customFormat="false" ht="15" hidden="false" customHeight="false" outlineLevel="0" collapsed="false">
      <c r="A102" s="0" t="str">
        <f aca="false">IF('Deal Tracker'!C102="","",COUNTIF('Deal Tracker'!$C$2:C102,'Deal Tracker'!C102))</f>
        <v/>
      </c>
      <c r="B102" s="0" t="str">
        <f aca="false">IF(A102="","",'Deal Tracker'!C102&amp;"#"&amp;A102)</f>
        <v/>
      </c>
      <c r="C102" s="0" t="str">
        <f aca="false">IF('Deal Tracker'!B102="","",'Deal Tracker'!B102&amp;IF('Deal Tracker'!D102=""," — size TBD"," — $"&amp;TEXT('Deal Tracker'!D102,"#,##0")&amp;"M"))</f>
        <v/>
      </c>
    </row>
    <row r="103" customFormat="false" ht="15" hidden="false" customHeight="false" outlineLevel="0" collapsed="false">
      <c r="A103" s="0" t="str">
        <f aca="false">IF('Deal Tracker'!C103="","",COUNTIF('Deal Tracker'!$C$2:C103,'Deal Tracker'!C103))</f>
        <v/>
      </c>
      <c r="B103" s="0" t="str">
        <f aca="false">IF(A103="","",'Deal Tracker'!C103&amp;"#"&amp;A103)</f>
        <v/>
      </c>
      <c r="C103" s="0" t="str">
        <f aca="false">IF('Deal Tracker'!B103="","",'Deal Tracker'!B103&amp;IF('Deal Tracker'!D103=""," — size TBD"," — $"&amp;TEXT('Deal Tracker'!D103,"#,##0")&amp;"M"))</f>
        <v/>
      </c>
    </row>
    <row r="104" customFormat="false" ht="15" hidden="false" customHeight="false" outlineLevel="0" collapsed="false">
      <c r="A104" s="0" t="str">
        <f aca="false">IF('Deal Tracker'!C104="","",COUNTIF('Deal Tracker'!$C$2:C104,'Deal Tracker'!C104))</f>
        <v/>
      </c>
      <c r="B104" s="0" t="str">
        <f aca="false">IF(A104="","",'Deal Tracker'!C104&amp;"#"&amp;A104)</f>
        <v/>
      </c>
      <c r="C104" s="0" t="str">
        <f aca="false">IF('Deal Tracker'!B104="","",'Deal Tracker'!B104&amp;IF('Deal Tracker'!D104=""," — size TBD"," — $"&amp;TEXT('Deal Tracker'!D104,"#,##0")&amp;"M"))</f>
        <v/>
      </c>
    </row>
    <row r="105" customFormat="false" ht="15" hidden="false" customHeight="false" outlineLevel="0" collapsed="false">
      <c r="A105" s="0" t="str">
        <f aca="false">IF('Deal Tracker'!C105="","",COUNTIF('Deal Tracker'!$C$2:C105,'Deal Tracker'!C105))</f>
        <v/>
      </c>
      <c r="B105" s="0" t="str">
        <f aca="false">IF(A105="","",'Deal Tracker'!C105&amp;"#"&amp;A105)</f>
        <v/>
      </c>
      <c r="C105" s="0" t="str">
        <f aca="false">IF('Deal Tracker'!B105="","",'Deal Tracker'!B105&amp;IF('Deal Tracker'!D105=""," — size TBD"," — $"&amp;TEXT('Deal Tracker'!D105,"#,##0")&amp;"M"))</f>
        <v/>
      </c>
    </row>
    <row r="106" customFormat="false" ht="15" hidden="false" customHeight="false" outlineLevel="0" collapsed="false">
      <c r="A106" s="0" t="str">
        <f aca="false">IF('Deal Tracker'!C106="","",COUNTIF('Deal Tracker'!$C$2:C106,'Deal Tracker'!C106))</f>
        <v/>
      </c>
      <c r="B106" s="0" t="str">
        <f aca="false">IF(A106="","",'Deal Tracker'!C106&amp;"#"&amp;A106)</f>
        <v/>
      </c>
      <c r="C106" s="0" t="str">
        <f aca="false">IF('Deal Tracker'!B106="","",'Deal Tracker'!B106&amp;IF('Deal Tracker'!D106=""," — size TBD"," — $"&amp;TEXT('Deal Tracker'!D106,"#,##0")&amp;"M"))</f>
        <v/>
      </c>
    </row>
    <row r="107" customFormat="false" ht="15" hidden="false" customHeight="false" outlineLevel="0" collapsed="false">
      <c r="A107" s="0" t="str">
        <f aca="false">IF('Deal Tracker'!C107="","",COUNTIF('Deal Tracker'!$C$2:C107,'Deal Tracker'!C107))</f>
        <v/>
      </c>
      <c r="B107" s="0" t="str">
        <f aca="false">IF(A107="","",'Deal Tracker'!C107&amp;"#"&amp;A107)</f>
        <v/>
      </c>
      <c r="C107" s="0" t="str">
        <f aca="false">IF('Deal Tracker'!B107="","",'Deal Tracker'!B107&amp;IF('Deal Tracker'!D107=""," — size TBD"," — $"&amp;TEXT('Deal Tracker'!D107,"#,##0")&amp;"M"))</f>
        <v/>
      </c>
    </row>
    <row r="108" customFormat="false" ht="15" hidden="false" customHeight="false" outlineLevel="0" collapsed="false">
      <c r="A108" s="0" t="str">
        <f aca="false">IF('Deal Tracker'!C108="","",COUNTIF('Deal Tracker'!$C$2:C108,'Deal Tracker'!C108))</f>
        <v/>
      </c>
      <c r="B108" s="0" t="str">
        <f aca="false">IF(A108="","",'Deal Tracker'!C108&amp;"#"&amp;A108)</f>
        <v/>
      </c>
      <c r="C108" s="0" t="str">
        <f aca="false">IF('Deal Tracker'!B108="","",'Deal Tracker'!B108&amp;IF('Deal Tracker'!D108=""," — size TBD"," — $"&amp;TEXT('Deal Tracker'!D108,"#,##0")&amp;"M"))</f>
        <v/>
      </c>
    </row>
    <row r="109" customFormat="false" ht="15" hidden="false" customHeight="false" outlineLevel="0" collapsed="false">
      <c r="A109" s="0" t="str">
        <f aca="false">IF('Deal Tracker'!C109="","",COUNTIF('Deal Tracker'!$C$2:C109,'Deal Tracker'!C109))</f>
        <v/>
      </c>
      <c r="B109" s="0" t="str">
        <f aca="false">IF(A109="","",'Deal Tracker'!C109&amp;"#"&amp;A109)</f>
        <v/>
      </c>
      <c r="C109" s="0" t="str">
        <f aca="false">IF('Deal Tracker'!B109="","",'Deal Tracker'!B109&amp;IF('Deal Tracker'!D109=""," — size TBD"," — $"&amp;TEXT('Deal Tracker'!D109,"#,##0")&amp;"M"))</f>
        <v/>
      </c>
    </row>
    <row r="110" customFormat="false" ht="15" hidden="false" customHeight="false" outlineLevel="0" collapsed="false">
      <c r="A110" s="0" t="str">
        <f aca="false">IF('Deal Tracker'!C110="","",COUNTIF('Deal Tracker'!$C$2:C110,'Deal Tracker'!C110))</f>
        <v/>
      </c>
      <c r="B110" s="0" t="str">
        <f aca="false">IF(A110="","",'Deal Tracker'!C110&amp;"#"&amp;A110)</f>
        <v/>
      </c>
      <c r="C110" s="0" t="str">
        <f aca="false">IF('Deal Tracker'!B110="","",'Deal Tracker'!B110&amp;IF('Deal Tracker'!D110=""," — size TBD"," — $"&amp;TEXT('Deal Tracker'!D110,"#,##0")&amp;"M"))</f>
        <v/>
      </c>
    </row>
    <row r="111" customFormat="false" ht="15" hidden="false" customHeight="false" outlineLevel="0" collapsed="false">
      <c r="A111" s="0" t="str">
        <f aca="false">IF('Deal Tracker'!C111="","",COUNTIF('Deal Tracker'!$C$2:C111,'Deal Tracker'!C111))</f>
        <v/>
      </c>
      <c r="B111" s="0" t="str">
        <f aca="false">IF(A111="","",'Deal Tracker'!C111&amp;"#"&amp;A111)</f>
        <v/>
      </c>
      <c r="C111" s="0" t="str">
        <f aca="false">IF('Deal Tracker'!B111="","",'Deal Tracker'!B111&amp;IF('Deal Tracker'!D111=""," — size TBD"," — $"&amp;TEXT('Deal Tracker'!D111,"#,##0")&amp;"M"))</f>
        <v/>
      </c>
    </row>
    <row r="112" customFormat="false" ht="15" hidden="false" customHeight="false" outlineLevel="0" collapsed="false">
      <c r="A112" s="0" t="str">
        <f aca="false">IF('Deal Tracker'!C112="","",COUNTIF('Deal Tracker'!$C$2:C112,'Deal Tracker'!C112))</f>
        <v/>
      </c>
      <c r="B112" s="0" t="str">
        <f aca="false">IF(A112="","",'Deal Tracker'!C112&amp;"#"&amp;A112)</f>
        <v/>
      </c>
      <c r="C112" s="0" t="str">
        <f aca="false">IF('Deal Tracker'!B112="","",'Deal Tracker'!B112&amp;IF('Deal Tracker'!D112=""," — size TBD"," — $"&amp;TEXT('Deal Tracker'!D112,"#,##0")&amp;"M"))</f>
        <v/>
      </c>
    </row>
    <row r="113" customFormat="false" ht="15" hidden="false" customHeight="false" outlineLevel="0" collapsed="false">
      <c r="A113" s="0" t="str">
        <f aca="false">IF('Deal Tracker'!C113="","",COUNTIF('Deal Tracker'!$C$2:C113,'Deal Tracker'!C113))</f>
        <v/>
      </c>
      <c r="B113" s="0" t="str">
        <f aca="false">IF(A113="","",'Deal Tracker'!C113&amp;"#"&amp;A113)</f>
        <v/>
      </c>
      <c r="C113" s="0" t="str">
        <f aca="false">IF('Deal Tracker'!B113="","",'Deal Tracker'!B113&amp;IF('Deal Tracker'!D113=""," — size TBD"," — $"&amp;TEXT('Deal Tracker'!D113,"#,##0")&amp;"M"))</f>
        <v/>
      </c>
    </row>
    <row r="114" customFormat="false" ht="15" hidden="false" customHeight="false" outlineLevel="0" collapsed="false">
      <c r="A114" s="0" t="str">
        <f aca="false">IF('Deal Tracker'!C114="","",COUNTIF('Deal Tracker'!$C$2:C114,'Deal Tracker'!C114))</f>
        <v/>
      </c>
      <c r="B114" s="0" t="str">
        <f aca="false">IF(A114="","",'Deal Tracker'!C114&amp;"#"&amp;A114)</f>
        <v/>
      </c>
      <c r="C114" s="0" t="str">
        <f aca="false">IF('Deal Tracker'!B114="","",'Deal Tracker'!B114&amp;IF('Deal Tracker'!D114=""," — size TBD"," — $"&amp;TEXT('Deal Tracker'!D114,"#,##0")&amp;"M"))</f>
        <v/>
      </c>
    </row>
    <row r="115" customFormat="false" ht="15" hidden="false" customHeight="false" outlineLevel="0" collapsed="false">
      <c r="A115" s="0" t="str">
        <f aca="false">IF('Deal Tracker'!C115="","",COUNTIF('Deal Tracker'!$C$2:C115,'Deal Tracker'!C115))</f>
        <v/>
      </c>
      <c r="B115" s="0" t="str">
        <f aca="false">IF(A115="","",'Deal Tracker'!C115&amp;"#"&amp;A115)</f>
        <v/>
      </c>
      <c r="C115" s="0" t="str">
        <f aca="false">IF('Deal Tracker'!B115="","",'Deal Tracker'!B115&amp;IF('Deal Tracker'!D115=""," — size TBD"," — $"&amp;TEXT('Deal Tracker'!D115,"#,##0")&amp;"M"))</f>
        <v/>
      </c>
    </row>
    <row r="116" customFormat="false" ht="15" hidden="false" customHeight="false" outlineLevel="0" collapsed="false">
      <c r="A116" s="0" t="str">
        <f aca="false">IF('Deal Tracker'!C116="","",COUNTIF('Deal Tracker'!$C$2:C116,'Deal Tracker'!C116))</f>
        <v/>
      </c>
      <c r="B116" s="0" t="str">
        <f aca="false">IF(A116="","",'Deal Tracker'!C116&amp;"#"&amp;A116)</f>
        <v/>
      </c>
      <c r="C116" s="0" t="str">
        <f aca="false">IF('Deal Tracker'!B116="","",'Deal Tracker'!B116&amp;IF('Deal Tracker'!D116=""," — size TBD"," — $"&amp;TEXT('Deal Tracker'!D116,"#,##0")&amp;"M"))</f>
        <v/>
      </c>
    </row>
    <row r="117" customFormat="false" ht="15" hidden="false" customHeight="false" outlineLevel="0" collapsed="false">
      <c r="A117" s="0" t="str">
        <f aca="false">IF('Deal Tracker'!C117="","",COUNTIF('Deal Tracker'!$C$2:C117,'Deal Tracker'!C117))</f>
        <v/>
      </c>
      <c r="B117" s="0" t="str">
        <f aca="false">IF(A117="","",'Deal Tracker'!C117&amp;"#"&amp;A117)</f>
        <v/>
      </c>
      <c r="C117" s="0" t="str">
        <f aca="false">IF('Deal Tracker'!B117="","",'Deal Tracker'!B117&amp;IF('Deal Tracker'!D117=""," — size TBD"," — $"&amp;TEXT('Deal Tracker'!D117,"#,##0")&amp;"M"))</f>
        <v/>
      </c>
    </row>
    <row r="118" customFormat="false" ht="15" hidden="false" customHeight="false" outlineLevel="0" collapsed="false">
      <c r="A118" s="0" t="str">
        <f aca="false">IF('Deal Tracker'!C118="","",COUNTIF('Deal Tracker'!$C$2:C118,'Deal Tracker'!C118))</f>
        <v/>
      </c>
      <c r="B118" s="0" t="str">
        <f aca="false">IF(A118="","",'Deal Tracker'!C118&amp;"#"&amp;A118)</f>
        <v/>
      </c>
      <c r="C118" s="0" t="str">
        <f aca="false">IF('Deal Tracker'!B118="","",'Deal Tracker'!B118&amp;IF('Deal Tracker'!D118=""," — size TBD"," — $"&amp;TEXT('Deal Tracker'!D118,"#,##0")&amp;"M"))</f>
        <v/>
      </c>
    </row>
    <row r="119" customFormat="false" ht="15" hidden="false" customHeight="false" outlineLevel="0" collapsed="false">
      <c r="A119" s="0" t="str">
        <f aca="false">IF('Deal Tracker'!C119="","",COUNTIF('Deal Tracker'!$C$2:C119,'Deal Tracker'!C119))</f>
        <v/>
      </c>
      <c r="B119" s="0" t="str">
        <f aca="false">IF(A119="","",'Deal Tracker'!C119&amp;"#"&amp;A119)</f>
        <v/>
      </c>
      <c r="C119" s="0" t="str">
        <f aca="false">IF('Deal Tracker'!B119="","",'Deal Tracker'!B119&amp;IF('Deal Tracker'!D119=""," — size TBD"," — $"&amp;TEXT('Deal Tracker'!D119,"#,##0")&amp;"M"))</f>
        <v/>
      </c>
    </row>
    <row r="120" customFormat="false" ht="15" hidden="false" customHeight="false" outlineLevel="0" collapsed="false">
      <c r="A120" s="0" t="str">
        <f aca="false">IF('Deal Tracker'!C120="","",COUNTIF('Deal Tracker'!$C$2:C120,'Deal Tracker'!C120))</f>
        <v/>
      </c>
      <c r="B120" s="0" t="str">
        <f aca="false">IF(A120="","",'Deal Tracker'!C120&amp;"#"&amp;A120)</f>
        <v/>
      </c>
      <c r="C120" s="0" t="str">
        <f aca="false">IF('Deal Tracker'!B120="","",'Deal Tracker'!B120&amp;IF('Deal Tracker'!D120=""," — size TBD"," — $"&amp;TEXT('Deal Tracker'!D120,"#,##0")&amp;"M"))</f>
        <v/>
      </c>
    </row>
    <row r="121" customFormat="false" ht="15" hidden="false" customHeight="false" outlineLevel="0" collapsed="false">
      <c r="A121" s="0" t="str">
        <f aca="false">IF('Deal Tracker'!C121="","",COUNTIF('Deal Tracker'!$C$2:C121,'Deal Tracker'!C121))</f>
        <v/>
      </c>
      <c r="B121" s="0" t="str">
        <f aca="false">IF(A121="","",'Deal Tracker'!C121&amp;"#"&amp;A121)</f>
        <v/>
      </c>
      <c r="C121" s="0" t="str">
        <f aca="false">IF('Deal Tracker'!B121="","",'Deal Tracker'!B121&amp;IF('Deal Tracker'!D121=""," — size TBD"," — $"&amp;TEXT('Deal Tracker'!D121,"#,##0")&amp;"M"))</f>
        <v/>
      </c>
    </row>
    <row r="122" customFormat="false" ht="15" hidden="false" customHeight="false" outlineLevel="0" collapsed="false">
      <c r="A122" s="0" t="str">
        <f aca="false">IF('Deal Tracker'!C122="","",COUNTIF('Deal Tracker'!$C$2:C122,'Deal Tracker'!C122))</f>
        <v/>
      </c>
      <c r="B122" s="0" t="str">
        <f aca="false">IF(A122="","",'Deal Tracker'!C122&amp;"#"&amp;A122)</f>
        <v/>
      </c>
      <c r="C122" s="0" t="str">
        <f aca="false">IF('Deal Tracker'!B122="","",'Deal Tracker'!B122&amp;IF('Deal Tracker'!D122=""," — size TBD"," — $"&amp;TEXT('Deal Tracker'!D122,"#,##0")&amp;"M"))</f>
        <v/>
      </c>
    </row>
    <row r="123" customFormat="false" ht="15" hidden="false" customHeight="false" outlineLevel="0" collapsed="false">
      <c r="A123" s="0" t="str">
        <f aca="false">IF('Deal Tracker'!C123="","",COUNTIF('Deal Tracker'!$C$2:C123,'Deal Tracker'!C123))</f>
        <v/>
      </c>
      <c r="B123" s="0" t="str">
        <f aca="false">IF(A123="","",'Deal Tracker'!C123&amp;"#"&amp;A123)</f>
        <v/>
      </c>
      <c r="C123" s="0" t="str">
        <f aca="false">IF('Deal Tracker'!B123="","",'Deal Tracker'!B123&amp;IF('Deal Tracker'!D123=""," — size TBD"," — $"&amp;TEXT('Deal Tracker'!D123,"#,##0")&amp;"M"))</f>
        <v/>
      </c>
    </row>
    <row r="124" customFormat="false" ht="15" hidden="false" customHeight="false" outlineLevel="0" collapsed="false">
      <c r="A124" s="0" t="str">
        <f aca="false">IF('Deal Tracker'!C124="","",COUNTIF('Deal Tracker'!$C$2:C124,'Deal Tracker'!C124))</f>
        <v/>
      </c>
      <c r="B124" s="0" t="str">
        <f aca="false">IF(A124="","",'Deal Tracker'!C124&amp;"#"&amp;A124)</f>
        <v/>
      </c>
      <c r="C124" s="0" t="str">
        <f aca="false">IF('Deal Tracker'!B124="","",'Deal Tracker'!B124&amp;IF('Deal Tracker'!D124=""," — size TBD"," — $"&amp;TEXT('Deal Tracker'!D124,"#,##0")&amp;"M"))</f>
        <v/>
      </c>
    </row>
    <row r="125" customFormat="false" ht="15" hidden="false" customHeight="false" outlineLevel="0" collapsed="false">
      <c r="A125" s="0" t="str">
        <f aca="false">IF('Deal Tracker'!C125="","",COUNTIF('Deal Tracker'!$C$2:C125,'Deal Tracker'!C125))</f>
        <v/>
      </c>
      <c r="B125" s="0" t="str">
        <f aca="false">IF(A125="","",'Deal Tracker'!C125&amp;"#"&amp;A125)</f>
        <v/>
      </c>
      <c r="C125" s="0" t="str">
        <f aca="false">IF('Deal Tracker'!B125="","",'Deal Tracker'!B125&amp;IF('Deal Tracker'!D125=""," — size TBD"," — $"&amp;TEXT('Deal Tracker'!D125,"#,##0")&amp;"M"))</f>
        <v/>
      </c>
    </row>
    <row r="126" customFormat="false" ht="15" hidden="false" customHeight="false" outlineLevel="0" collapsed="false">
      <c r="A126" s="0" t="str">
        <f aca="false">IF('Deal Tracker'!C126="","",COUNTIF('Deal Tracker'!$C$2:C126,'Deal Tracker'!C126))</f>
        <v/>
      </c>
      <c r="B126" s="0" t="str">
        <f aca="false">IF(A126="","",'Deal Tracker'!C126&amp;"#"&amp;A126)</f>
        <v/>
      </c>
      <c r="C126" s="0" t="str">
        <f aca="false">IF('Deal Tracker'!B126="","",'Deal Tracker'!B126&amp;IF('Deal Tracker'!D126=""," — size TBD"," — $"&amp;TEXT('Deal Tracker'!D126,"#,##0")&amp;"M"))</f>
        <v/>
      </c>
    </row>
    <row r="127" customFormat="false" ht="15" hidden="false" customHeight="false" outlineLevel="0" collapsed="false">
      <c r="A127" s="0" t="str">
        <f aca="false">IF('Deal Tracker'!C127="","",COUNTIF('Deal Tracker'!$C$2:C127,'Deal Tracker'!C127))</f>
        <v/>
      </c>
      <c r="B127" s="0" t="str">
        <f aca="false">IF(A127="","",'Deal Tracker'!C127&amp;"#"&amp;A127)</f>
        <v/>
      </c>
      <c r="C127" s="0" t="str">
        <f aca="false">IF('Deal Tracker'!B127="","",'Deal Tracker'!B127&amp;IF('Deal Tracker'!D127=""," — size TBD"," — $"&amp;TEXT('Deal Tracker'!D127,"#,##0")&amp;"M"))</f>
        <v/>
      </c>
    </row>
    <row r="128" customFormat="false" ht="15" hidden="false" customHeight="false" outlineLevel="0" collapsed="false">
      <c r="A128" s="0" t="str">
        <f aca="false">IF('Deal Tracker'!C128="","",COUNTIF('Deal Tracker'!$C$2:C128,'Deal Tracker'!C128))</f>
        <v/>
      </c>
      <c r="B128" s="0" t="str">
        <f aca="false">IF(A128="","",'Deal Tracker'!C128&amp;"#"&amp;A128)</f>
        <v/>
      </c>
      <c r="C128" s="0" t="str">
        <f aca="false">IF('Deal Tracker'!B128="","",'Deal Tracker'!B128&amp;IF('Deal Tracker'!D128=""," — size TBD"," — $"&amp;TEXT('Deal Tracker'!D128,"#,##0")&amp;"M"))</f>
        <v/>
      </c>
    </row>
    <row r="129" customFormat="false" ht="15" hidden="false" customHeight="false" outlineLevel="0" collapsed="false">
      <c r="A129" s="0" t="str">
        <f aca="false">IF('Deal Tracker'!C129="","",COUNTIF('Deal Tracker'!$C$2:C129,'Deal Tracker'!C129))</f>
        <v/>
      </c>
      <c r="B129" s="0" t="str">
        <f aca="false">IF(A129="","",'Deal Tracker'!C129&amp;"#"&amp;A129)</f>
        <v/>
      </c>
      <c r="C129" s="0" t="str">
        <f aca="false">IF('Deal Tracker'!B129="","",'Deal Tracker'!B129&amp;IF('Deal Tracker'!D129=""," — size TBD"," — $"&amp;TEXT('Deal Tracker'!D129,"#,##0")&amp;"M"))</f>
        <v/>
      </c>
    </row>
    <row r="130" customFormat="false" ht="15" hidden="false" customHeight="false" outlineLevel="0" collapsed="false">
      <c r="A130" s="0" t="str">
        <f aca="false">IF('Deal Tracker'!C130="","",COUNTIF('Deal Tracker'!$C$2:C130,'Deal Tracker'!C130))</f>
        <v/>
      </c>
      <c r="B130" s="0" t="str">
        <f aca="false">IF(A130="","",'Deal Tracker'!C130&amp;"#"&amp;A130)</f>
        <v/>
      </c>
      <c r="C130" s="0" t="str">
        <f aca="false">IF('Deal Tracker'!B130="","",'Deal Tracker'!B130&amp;IF('Deal Tracker'!D130=""," — size TBD"," — $"&amp;TEXT('Deal Tracker'!D130,"#,##0")&amp;"M"))</f>
        <v/>
      </c>
    </row>
    <row r="131" customFormat="false" ht="15" hidden="false" customHeight="false" outlineLevel="0" collapsed="false">
      <c r="A131" s="0" t="str">
        <f aca="false">IF('Deal Tracker'!C131="","",COUNTIF('Deal Tracker'!$C$2:C131,'Deal Tracker'!C131))</f>
        <v/>
      </c>
      <c r="B131" s="0" t="str">
        <f aca="false">IF(A131="","",'Deal Tracker'!C131&amp;"#"&amp;A131)</f>
        <v/>
      </c>
      <c r="C131" s="0" t="str">
        <f aca="false">IF('Deal Tracker'!B131="","",'Deal Tracker'!B131&amp;IF('Deal Tracker'!D131=""," — size TBD"," — $"&amp;TEXT('Deal Tracker'!D131,"#,##0")&amp;"M"))</f>
        <v/>
      </c>
    </row>
    <row r="132" customFormat="false" ht="15" hidden="false" customHeight="false" outlineLevel="0" collapsed="false">
      <c r="A132" s="0" t="str">
        <f aca="false">IF('Deal Tracker'!C132="","",COUNTIF('Deal Tracker'!$C$2:C132,'Deal Tracker'!C132))</f>
        <v/>
      </c>
      <c r="B132" s="0" t="str">
        <f aca="false">IF(A132="","",'Deal Tracker'!C132&amp;"#"&amp;A132)</f>
        <v/>
      </c>
      <c r="C132" s="0" t="str">
        <f aca="false">IF('Deal Tracker'!B132="","",'Deal Tracker'!B132&amp;IF('Deal Tracker'!D132=""," — size TBD"," — $"&amp;TEXT('Deal Tracker'!D132,"#,##0")&amp;"M"))</f>
        <v/>
      </c>
    </row>
    <row r="133" customFormat="false" ht="15" hidden="false" customHeight="false" outlineLevel="0" collapsed="false">
      <c r="A133" s="0" t="str">
        <f aca="false">IF('Deal Tracker'!C133="","",COUNTIF('Deal Tracker'!$C$2:C133,'Deal Tracker'!C133))</f>
        <v/>
      </c>
      <c r="B133" s="0" t="str">
        <f aca="false">IF(A133="","",'Deal Tracker'!C133&amp;"#"&amp;A133)</f>
        <v/>
      </c>
      <c r="C133" s="0" t="str">
        <f aca="false">IF('Deal Tracker'!B133="","",'Deal Tracker'!B133&amp;IF('Deal Tracker'!D133=""," — size TBD"," — $"&amp;TEXT('Deal Tracker'!D133,"#,##0")&amp;"M"))</f>
        <v/>
      </c>
    </row>
    <row r="134" customFormat="false" ht="15" hidden="false" customHeight="false" outlineLevel="0" collapsed="false">
      <c r="A134" s="0" t="str">
        <f aca="false">IF('Deal Tracker'!C134="","",COUNTIF('Deal Tracker'!$C$2:C134,'Deal Tracker'!C134))</f>
        <v/>
      </c>
      <c r="B134" s="0" t="str">
        <f aca="false">IF(A134="","",'Deal Tracker'!C134&amp;"#"&amp;A134)</f>
        <v/>
      </c>
      <c r="C134" s="0" t="str">
        <f aca="false">IF('Deal Tracker'!B134="","",'Deal Tracker'!B134&amp;IF('Deal Tracker'!D134=""," — size TBD"," — $"&amp;TEXT('Deal Tracker'!D134,"#,##0")&amp;"M"))</f>
        <v/>
      </c>
    </row>
    <row r="135" customFormat="false" ht="15" hidden="false" customHeight="false" outlineLevel="0" collapsed="false">
      <c r="A135" s="0" t="str">
        <f aca="false">IF('Deal Tracker'!C135="","",COUNTIF('Deal Tracker'!$C$2:C135,'Deal Tracker'!C135))</f>
        <v/>
      </c>
      <c r="B135" s="0" t="str">
        <f aca="false">IF(A135="","",'Deal Tracker'!C135&amp;"#"&amp;A135)</f>
        <v/>
      </c>
      <c r="C135" s="0" t="str">
        <f aca="false">IF('Deal Tracker'!B135="","",'Deal Tracker'!B135&amp;IF('Deal Tracker'!D135=""," — size TBD"," — $"&amp;TEXT('Deal Tracker'!D135,"#,##0")&amp;"M"))</f>
        <v/>
      </c>
    </row>
    <row r="136" customFormat="false" ht="15" hidden="false" customHeight="false" outlineLevel="0" collapsed="false">
      <c r="A136" s="0" t="str">
        <f aca="false">IF('Deal Tracker'!C136="","",COUNTIF('Deal Tracker'!$C$2:C136,'Deal Tracker'!C136))</f>
        <v/>
      </c>
      <c r="B136" s="0" t="str">
        <f aca="false">IF(A136="","",'Deal Tracker'!C136&amp;"#"&amp;A136)</f>
        <v/>
      </c>
      <c r="C136" s="0" t="str">
        <f aca="false">IF('Deal Tracker'!B136="","",'Deal Tracker'!B136&amp;IF('Deal Tracker'!D136=""," — size TBD"," — $"&amp;TEXT('Deal Tracker'!D136,"#,##0")&amp;"M"))</f>
        <v/>
      </c>
    </row>
    <row r="137" customFormat="false" ht="15" hidden="false" customHeight="false" outlineLevel="0" collapsed="false">
      <c r="A137" s="0" t="str">
        <f aca="false">IF('Deal Tracker'!C137="","",COUNTIF('Deal Tracker'!$C$2:C137,'Deal Tracker'!C137))</f>
        <v/>
      </c>
      <c r="B137" s="0" t="str">
        <f aca="false">IF(A137="","",'Deal Tracker'!C137&amp;"#"&amp;A137)</f>
        <v/>
      </c>
      <c r="C137" s="0" t="str">
        <f aca="false">IF('Deal Tracker'!B137="","",'Deal Tracker'!B137&amp;IF('Deal Tracker'!D137=""," — size TBD"," — $"&amp;TEXT('Deal Tracker'!D137,"#,##0")&amp;"M"))</f>
        <v/>
      </c>
    </row>
    <row r="138" customFormat="false" ht="15" hidden="false" customHeight="false" outlineLevel="0" collapsed="false">
      <c r="A138" s="0" t="str">
        <f aca="false">IF('Deal Tracker'!C138="","",COUNTIF('Deal Tracker'!$C$2:C138,'Deal Tracker'!C138))</f>
        <v/>
      </c>
      <c r="B138" s="0" t="str">
        <f aca="false">IF(A138="","",'Deal Tracker'!C138&amp;"#"&amp;A138)</f>
        <v/>
      </c>
      <c r="C138" s="0" t="str">
        <f aca="false">IF('Deal Tracker'!B138="","",'Deal Tracker'!B138&amp;IF('Deal Tracker'!D138=""," — size TBD"," — $"&amp;TEXT('Deal Tracker'!D138,"#,##0")&amp;"M"))</f>
        <v/>
      </c>
    </row>
    <row r="139" customFormat="false" ht="15" hidden="false" customHeight="false" outlineLevel="0" collapsed="false">
      <c r="A139" s="0" t="str">
        <f aca="false">IF('Deal Tracker'!C139="","",COUNTIF('Deal Tracker'!$C$2:C139,'Deal Tracker'!C139))</f>
        <v/>
      </c>
      <c r="B139" s="0" t="str">
        <f aca="false">IF(A139="","",'Deal Tracker'!C139&amp;"#"&amp;A139)</f>
        <v/>
      </c>
      <c r="C139" s="0" t="str">
        <f aca="false">IF('Deal Tracker'!B139="","",'Deal Tracker'!B139&amp;IF('Deal Tracker'!D139=""," — size TBD"," — $"&amp;TEXT('Deal Tracker'!D139,"#,##0")&amp;"M"))</f>
        <v/>
      </c>
    </row>
    <row r="140" customFormat="false" ht="15" hidden="false" customHeight="false" outlineLevel="0" collapsed="false">
      <c r="A140" s="0" t="str">
        <f aca="false">IF('Deal Tracker'!C140="","",COUNTIF('Deal Tracker'!$C$2:C140,'Deal Tracker'!C140))</f>
        <v/>
      </c>
      <c r="B140" s="0" t="str">
        <f aca="false">IF(A140="","",'Deal Tracker'!C140&amp;"#"&amp;A140)</f>
        <v/>
      </c>
      <c r="C140" s="0" t="str">
        <f aca="false">IF('Deal Tracker'!B140="","",'Deal Tracker'!B140&amp;IF('Deal Tracker'!D140=""," — size TBD"," — $"&amp;TEXT('Deal Tracker'!D140,"#,##0")&amp;"M"))</f>
        <v/>
      </c>
    </row>
    <row r="141" customFormat="false" ht="15" hidden="false" customHeight="false" outlineLevel="0" collapsed="false">
      <c r="A141" s="0" t="str">
        <f aca="false">IF('Deal Tracker'!C141="","",COUNTIF('Deal Tracker'!$C$2:C141,'Deal Tracker'!C141))</f>
        <v/>
      </c>
      <c r="B141" s="0" t="str">
        <f aca="false">IF(A141="","",'Deal Tracker'!C141&amp;"#"&amp;A141)</f>
        <v/>
      </c>
      <c r="C141" s="0" t="str">
        <f aca="false">IF('Deal Tracker'!B141="","",'Deal Tracker'!B141&amp;IF('Deal Tracker'!D141=""," — size TBD"," — $"&amp;TEXT('Deal Tracker'!D141,"#,##0")&amp;"M"))</f>
        <v/>
      </c>
    </row>
    <row r="142" customFormat="false" ht="15" hidden="false" customHeight="false" outlineLevel="0" collapsed="false">
      <c r="A142" s="0" t="str">
        <f aca="false">IF('Deal Tracker'!C142="","",COUNTIF('Deal Tracker'!$C$2:C142,'Deal Tracker'!C142))</f>
        <v/>
      </c>
      <c r="B142" s="0" t="str">
        <f aca="false">IF(A142="","",'Deal Tracker'!C142&amp;"#"&amp;A142)</f>
        <v/>
      </c>
      <c r="C142" s="0" t="str">
        <f aca="false">IF('Deal Tracker'!B142="","",'Deal Tracker'!B142&amp;IF('Deal Tracker'!D142=""," — size TBD"," — $"&amp;TEXT('Deal Tracker'!D142,"#,##0")&amp;"M"))</f>
        <v/>
      </c>
    </row>
    <row r="143" customFormat="false" ht="15" hidden="false" customHeight="false" outlineLevel="0" collapsed="false">
      <c r="A143" s="0" t="str">
        <f aca="false">IF('Deal Tracker'!C143="","",COUNTIF('Deal Tracker'!$C$2:C143,'Deal Tracker'!C143))</f>
        <v/>
      </c>
      <c r="B143" s="0" t="str">
        <f aca="false">IF(A143="","",'Deal Tracker'!C143&amp;"#"&amp;A143)</f>
        <v/>
      </c>
      <c r="C143" s="0" t="str">
        <f aca="false">IF('Deal Tracker'!B143="","",'Deal Tracker'!B143&amp;IF('Deal Tracker'!D143=""," — size TBD"," — $"&amp;TEXT('Deal Tracker'!D143,"#,##0")&amp;"M"))</f>
        <v/>
      </c>
    </row>
    <row r="144" customFormat="false" ht="15" hidden="false" customHeight="false" outlineLevel="0" collapsed="false">
      <c r="A144" s="0" t="str">
        <f aca="false">IF('Deal Tracker'!C144="","",COUNTIF('Deal Tracker'!$C$2:C144,'Deal Tracker'!C144))</f>
        <v/>
      </c>
      <c r="B144" s="0" t="str">
        <f aca="false">IF(A144="","",'Deal Tracker'!C144&amp;"#"&amp;A144)</f>
        <v/>
      </c>
      <c r="C144" s="0" t="str">
        <f aca="false">IF('Deal Tracker'!B144="","",'Deal Tracker'!B144&amp;IF('Deal Tracker'!D144=""," — size TBD"," — $"&amp;TEXT('Deal Tracker'!D144,"#,##0")&amp;"M"))</f>
        <v/>
      </c>
    </row>
    <row r="145" customFormat="false" ht="15" hidden="false" customHeight="false" outlineLevel="0" collapsed="false">
      <c r="A145" s="0" t="str">
        <f aca="false">IF('Deal Tracker'!C145="","",COUNTIF('Deal Tracker'!$C$2:C145,'Deal Tracker'!C145))</f>
        <v/>
      </c>
      <c r="B145" s="0" t="str">
        <f aca="false">IF(A145="","",'Deal Tracker'!C145&amp;"#"&amp;A145)</f>
        <v/>
      </c>
      <c r="C145" s="0" t="str">
        <f aca="false">IF('Deal Tracker'!B145="","",'Deal Tracker'!B145&amp;IF('Deal Tracker'!D145=""," — size TBD"," — $"&amp;TEXT('Deal Tracker'!D145,"#,##0")&amp;"M"))</f>
        <v/>
      </c>
    </row>
    <row r="146" customFormat="false" ht="15" hidden="false" customHeight="false" outlineLevel="0" collapsed="false">
      <c r="A146" s="0" t="str">
        <f aca="false">IF('Deal Tracker'!C146="","",COUNTIF('Deal Tracker'!$C$2:C146,'Deal Tracker'!C146))</f>
        <v/>
      </c>
      <c r="B146" s="0" t="str">
        <f aca="false">IF(A146="","",'Deal Tracker'!C146&amp;"#"&amp;A146)</f>
        <v/>
      </c>
      <c r="C146" s="0" t="str">
        <f aca="false">IF('Deal Tracker'!B146="","",'Deal Tracker'!B146&amp;IF('Deal Tracker'!D146=""," — size TBD"," — $"&amp;TEXT('Deal Tracker'!D146,"#,##0")&amp;"M"))</f>
        <v/>
      </c>
    </row>
    <row r="147" customFormat="false" ht="15" hidden="false" customHeight="false" outlineLevel="0" collapsed="false">
      <c r="A147" s="0" t="str">
        <f aca="false">IF('Deal Tracker'!C147="","",COUNTIF('Deal Tracker'!$C$2:C147,'Deal Tracker'!C147))</f>
        <v/>
      </c>
      <c r="B147" s="0" t="str">
        <f aca="false">IF(A147="","",'Deal Tracker'!C147&amp;"#"&amp;A147)</f>
        <v/>
      </c>
      <c r="C147" s="0" t="str">
        <f aca="false">IF('Deal Tracker'!B147="","",'Deal Tracker'!B147&amp;IF('Deal Tracker'!D147=""," — size TBD"," — $"&amp;TEXT('Deal Tracker'!D147,"#,##0")&amp;"M"))</f>
        <v/>
      </c>
    </row>
    <row r="148" customFormat="false" ht="15" hidden="false" customHeight="false" outlineLevel="0" collapsed="false">
      <c r="A148" s="0" t="str">
        <f aca="false">IF('Deal Tracker'!C148="","",COUNTIF('Deal Tracker'!$C$2:C148,'Deal Tracker'!C148))</f>
        <v/>
      </c>
      <c r="B148" s="0" t="str">
        <f aca="false">IF(A148="","",'Deal Tracker'!C148&amp;"#"&amp;A148)</f>
        <v/>
      </c>
      <c r="C148" s="0" t="str">
        <f aca="false">IF('Deal Tracker'!B148="","",'Deal Tracker'!B148&amp;IF('Deal Tracker'!D148=""," — size TBD"," — $"&amp;TEXT('Deal Tracker'!D148,"#,##0")&amp;"M"))</f>
        <v/>
      </c>
    </row>
    <row r="149" customFormat="false" ht="15" hidden="false" customHeight="false" outlineLevel="0" collapsed="false">
      <c r="A149" s="0" t="str">
        <f aca="false">IF('Deal Tracker'!C149="","",COUNTIF('Deal Tracker'!$C$2:C149,'Deal Tracker'!C149))</f>
        <v/>
      </c>
      <c r="B149" s="0" t="str">
        <f aca="false">IF(A149="","",'Deal Tracker'!C149&amp;"#"&amp;A149)</f>
        <v/>
      </c>
      <c r="C149" s="0" t="str">
        <f aca="false">IF('Deal Tracker'!B149="","",'Deal Tracker'!B149&amp;IF('Deal Tracker'!D149=""," — size TBD"," — $"&amp;TEXT('Deal Tracker'!D149,"#,##0")&amp;"M"))</f>
        <v/>
      </c>
    </row>
    <row r="150" customFormat="false" ht="15" hidden="false" customHeight="false" outlineLevel="0" collapsed="false">
      <c r="A150" s="0" t="str">
        <f aca="false">IF('Deal Tracker'!C150="","",COUNTIF('Deal Tracker'!$C$2:C150,'Deal Tracker'!C150))</f>
        <v/>
      </c>
      <c r="B150" s="0" t="str">
        <f aca="false">IF(A150="","",'Deal Tracker'!C150&amp;"#"&amp;A150)</f>
        <v/>
      </c>
      <c r="C150" s="0" t="str">
        <f aca="false">IF('Deal Tracker'!B150="","",'Deal Tracker'!B150&amp;IF('Deal Tracker'!D150=""," — size TBD"," — $"&amp;TEXT('Deal Tracker'!D150,"#,##0")&amp;"M"))</f>
        <v/>
      </c>
    </row>
    <row r="151" customFormat="false" ht="15" hidden="false" customHeight="false" outlineLevel="0" collapsed="false">
      <c r="A151" s="0" t="str">
        <f aca="false">IF('Deal Tracker'!C151="","",COUNTIF('Deal Tracker'!$C$2:C151,'Deal Tracker'!C151))</f>
        <v/>
      </c>
      <c r="B151" s="0" t="str">
        <f aca="false">IF(A151="","",'Deal Tracker'!C151&amp;"#"&amp;A151)</f>
        <v/>
      </c>
      <c r="C151" s="0" t="str">
        <f aca="false">IF('Deal Tracker'!B151="","",'Deal Tracker'!B151&amp;IF('Deal Tracker'!D151=""," — size TBD"," — $"&amp;TEXT('Deal Tracker'!D151,"#,##0")&amp;"M"))</f>
        <v/>
      </c>
    </row>
    <row r="152" customFormat="false" ht="15" hidden="false" customHeight="false" outlineLevel="0" collapsed="false">
      <c r="A152" s="0" t="str">
        <f aca="false">IF('Deal Tracker'!C152="","",COUNTIF('Deal Tracker'!$C$2:C152,'Deal Tracker'!C152))</f>
        <v/>
      </c>
      <c r="B152" s="0" t="str">
        <f aca="false">IF(A152="","",'Deal Tracker'!C152&amp;"#"&amp;A152)</f>
        <v/>
      </c>
      <c r="C152" s="0" t="str">
        <f aca="false">IF('Deal Tracker'!B152="","",'Deal Tracker'!B152&amp;IF('Deal Tracker'!D152=""," — size TBD"," — $"&amp;TEXT('Deal Tracker'!D152,"#,##0")&amp;"M"))</f>
        <v/>
      </c>
    </row>
    <row r="153" customFormat="false" ht="15" hidden="false" customHeight="false" outlineLevel="0" collapsed="false">
      <c r="A153" s="0" t="str">
        <f aca="false">IF('Deal Tracker'!C153="","",COUNTIF('Deal Tracker'!$C$2:C153,'Deal Tracker'!C153))</f>
        <v/>
      </c>
      <c r="B153" s="0" t="str">
        <f aca="false">IF(A153="","",'Deal Tracker'!C153&amp;"#"&amp;A153)</f>
        <v/>
      </c>
      <c r="C153" s="0" t="str">
        <f aca="false">IF('Deal Tracker'!B153="","",'Deal Tracker'!B153&amp;IF('Deal Tracker'!D153=""," — size TBD"," — $"&amp;TEXT('Deal Tracker'!D153,"#,##0")&amp;"M"))</f>
        <v/>
      </c>
    </row>
    <row r="154" customFormat="false" ht="15" hidden="false" customHeight="false" outlineLevel="0" collapsed="false">
      <c r="A154" s="0" t="str">
        <f aca="false">IF('Deal Tracker'!C154="","",COUNTIF('Deal Tracker'!$C$2:C154,'Deal Tracker'!C154))</f>
        <v/>
      </c>
      <c r="B154" s="0" t="str">
        <f aca="false">IF(A154="","",'Deal Tracker'!C154&amp;"#"&amp;A154)</f>
        <v/>
      </c>
      <c r="C154" s="0" t="str">
        <f aca="false">IF('Deal Tracker'!B154="","",'Deal Tracker'!B154&amp;IF('Deal Tracker'!D154=""," — size TBD"," — $"&amp;TEXT('Deal Tracker'!D154,"#,##0")&amp;"M"))</f>
        <v/>
      </c>
    </row>
    <row r="155" customFormat="false" ht="15" hidden="false" customHeight="false" outlineLevel="0" collapsed="false">
      <c r="A155" s="0" t="str">
        <f aca="false">IF('Deal Tracker'!C155="","",COUNTIF('Deal Tracker'!$C$2:C155,'Deal Tracker'!C155))</f>
        <v/>
      </c>
      <c r="B155" s="0" t="str">
        <f aca="false">IF(A155="","",'Deal Tracker'!C155&amp;"#"&amp;A155)</f>
        <v/>
      </c>
      <c r="C155" s="0" t="str">
        <f aca="false">IF('Deal Tracker'!B155="","",'Deal Tracker'!B155&amp;IF('Deal Tracker'!D155=""," — size TBD"," — $"&amp;TEXT('Deal Tracker'!D155,"#,##0")&amp;"M"))</f>
        <v/>
      </c>
    </row>
    <row r="156" customFormat="false" ht="15" hidden="false" customHeight="false" outlineLevel="0" collapsed="false">
      <c r="A156" s="0" t="str">
        <f aca="false">IF('Deal Tracker'!C156="","",COUNTIF('Deal Tracker'!$C$2:C156,'Deal Tracker'!C156))</f>
        <v/>
      </c>
      <c r="B156" s="0" t="str">
        <f aca="false">IF(A156="","",'Deal Tracker'!C156&amp;"#"&amp;A156)</f>
        <v/>
      </c>
      <c r="C156" s="0" t="str">
        <f aca="false">IF('Deal Tracker'!B156="","",'Deal Tracker'!B156&amp;IF('Deal Tracker'!D156=""," — size TBD"," — $"&amp;TEXT('Deal Tracker'!D156,"#,##0")&amp;"M"))</f>
        <v/>
      </c>
    </row>
    <row r="157" customFormat="false" ht="15" hidden="false" customHeight="false" outlineLevel="0" collapsed="false">
      <c r="A157" s="0" t="str">
        <f aca="false">IF('Deal Tracker'!C157="","",COUNTIF('Deal Tracker'!$C$2:C157,'Deal Tracker'!C157))</f>
        <v/>
      </c>
      <c r="B157" s="0" t="str">
        <f aca="false">IF(A157="","",'Deal Tracker'!C157&amp;"#"&amp;A157)</f>
        <v/>
      </c>
      <c r="C157" s="0" t="str">
        <f aca="false">IF('Deal Tracker'!B157="","",'Deal Tracker'!B157&amp;IF('Deal Tracker'!D157=""," — size TBD"," — $"&amp;TEXT('Deal Tracker'!D157,"#,##0")&amp;"M"))</f>
        <v/>
      </c>
    </row>
    <row r="158" customFormat="false" ht="15" hidden="false" customHeight="false" outlineLevel="0" collapsed="false">
      <c r="A158" s="0" t="str">
        <f aca="false">IF('Deal Tracker'!C158="","",COUNTIF('Deal Tracker'!$C$2:C158,'Deal Tracker'!C158))</f>
        <v/>
      </c>
      <c r="B158" s="0" t="str">
        <f aca="false">IF(A158="","",'Deal Tracker'!C158&amp;"#"&amp;A158)</f>
        <v/>
      </c>
      <c r="C158" s="0" t="str">
        <f aca="false">IF('Deal Tracker'!B158="","",'Deal Tracker'!B158&amp;IF('Deal Tracker'!D158=""," — size TBD"," — $"&amp;TEXT('Deal Tracker'!D158,"#,##0")&amp;"M"))</f>
        <v/>
      </c>
    </row>
    <row r="159" customFormat="false" ht="15" hidden="false" customHeight="false" outlineLevel="0" collapsed="false">
      <c r="A159" s="0" t="str">
        <f aca="false">IF('Deal Tracker'!C159="","",COUNTIF('Deal Tracker'!$C$2:C159,'Deal Tracker'!C159))</f>
        <v/>
      </c>
      <c r="B159" s="0" t="str">
        <f aca="false">IF(A159="","",'Deal Tracker'!C159&amp;"#"&amp;A159)</f>
        <v/>
      </c>
      <c r="C159" s="0" t="str">
        <f aca="false">IF('Deal Tracker'!B159="","",'Deal Tracker'!B159&amp;IF('Deal Tracker'!D159=""," — size TBD"," — $"&amp;TEXT('Deal Tracker'!D159,"#,##0")&amp;"M"))</f>
        <v/>
      </c>
    </row>
    <row r="160" customFormat="false" ht="15" hidden="false" customHeight="false" outlineLevel="0" collapsed="false">
      <c r="A160" s="0" t="str">
        <f aca="false">IF('Deal Tracker'!C160="","",COUNTIF('Deal Tracker'!$C$2:C160,'Deal Tracker'!C160))</f>
        <v/>
      </c>
      <c r="B160" s="0" t="str">
        <f aca="false">IF(A160="","",'Deal Tracker'!C160&amp;"#"&amp;A160)</f>
        <v/>
      </c>
      <c r="C160" s="0" t="str">
        <f aca="false">IF('Deal Tracker'!B160="","",'Deal Tracker'!B160&amp;IF('Deal Tracker'!D160=""," — size TBD"," — $"&amp;TEXT('Deal Tracker'!D160,"#,##0")&amp;"M"))</f>
        <v/>
      </c>
    </row>
    <row r="161" customFormat="false" ht="15" hidden="false" customHeight="false" outlineLevel="0" collapsed="false">
      <c r="A161" s="0" t="str">
        <f aca="false">IF('Deal Tracker'!C161="","",COUNTIF('Deal Tracker'!$C$2:C161,'Deal Tracker'!C161))</f>
        <v/>
      </c>
      <c r="B161" s="0" t="str">
        <f aca="false">IF(A161="","",'Deal Tracker'!C161&amp;"#"&amp;A161)</f>
        <v/>
      </c>
      <c r="C161" s="0" t="str">
        <f aca="false">IF('Deal Tracker'!B161="","",'Deal Tracker'!B161&amp;IF('Deal Tracker'!D161=""," — size TBD"," — $"&amp;TEXT('Deal Tracker'!D161,"#,##0")&amp;"M"))</f>
        <v/>
      </c>
    </row>
    <row r="162" customFormat="false" ht="15" hidden="false" customHeight="false" outlineLevel="0" collapsed="false">
      <c r="A162" s="0" t="str">
        <f aca="false">IF('Deal Tracker'!C162="","",COUNTIF('Deal Tracker'!$C$2:C162,'Deal Tracker'!C162))</f>
        <v/>
      </c>
      <c r="B162" s="0" t="str">
        <f aca="false">IF(A162="","",'Deal Tracker'!C162&amp;"#"&amp;A162)</f>
        <v/>
      </c>
      <c r="C162" s="0" t="str">
        <f aca="false">IF('Deal Tracker'!B162="","",'Deal Tracker'!B162&amp;IF('Deal Tracker'!D162=""," — size TBD"," — $"&amp;TEXT('Deal Tracker'!D162,"#,##0")&amp;"M"))</f>
        <v/>
      </c>
    </row>
    <row r="163" customFormat="false" ht="15" hidden="false" customHeight="false" outlineLevel="0" collapsed="false">
      <c r="A163" s="0" t="str">
        <f aca="false">IF('Deal Tracker'!C163="","",COUNTIF('Deal Tracker'!$C$2:C163,'Deal Tracker'!C163))</f>
        <v/>
      </c>
      <c r="B163" s="0" t="str">
        <f aca="false">IF(A163="","",'Deal Tracker'!C163&amp;"#"&amp;A163)</f>
        <v/>
      </c>
      <c r="C163" s="0" t="str">
        <f aca="false">IF('Deal Tracker'!B163="","",'Deal Tracker'!B163&amp;IF('Deal Tracker'!D163=""," — size TBD"," — $"&amp;TEXT('Deal Tracker'!D163,"#,##0")&amp;"M"))</f>
        <v/>
      </c>
    </row>
    <row r="164" customFormat="false" ht="15" hidden="false" customHeight="false" outlineLevel="0" collapsed="false">
      <c r="A164" s="0" t="str">
        <f aca="false">IF('Deal Tracker'!C164="","",COUNTIF('Deal Tracker'!$C$2:C164,'Deal Tracker'!C164))</f>
        <v/>
      </c>
      <c r="B164" s="0" t="str">
        <f aca="false">IF(A164="","",'Deal Tracker'!C164&amp;"#"&amp;A164)</f>
        <v/>
      </c>
      <c r="C164" s="0" t="str">
        <f aca="false">IF('Deal Tracker'!B164="","",'Deal Tracker'!B164&amp;IF('Deal Tracker'!D164=""," — size TBD"," — $"&amp;TEXT('Deal Tracker'!D164,"#,##0")&amp;"M"))</f>
        <v/>
      </c>
    </row>
    <row r="165" customFormat="false" ht="15" hidden="false" customHeight="false" outlineLevel="0" collapsed="false">
      <c r="A165" s="0" t="str">
        <f aca="false">IF('Deal Tracker'!C165="","",COUNTIF('Deal Tracker'!$C$2:C165,'Deal Tracker'!C165))</f>
        <v/>
      </c>
      <c r="B165" s="0" t="str">
        <f aca="false">IF(A165="","",'Deal Tracker'!C165&amp;"#"&amp;A165)</f>
        <v/>
      </c>
      <c r="C165" s="0" t="str">
        <f aca="false">IF('Deal Tracker'!B165="","",'Deal Tracker'!B165&amp;IF('Deal Tracker'!D165=""," — size TBD"," — $"&amp;TEXT('Deal Tracker'!D165,"#,##0")&amp;"M"))</f>
        <v/>
      </c>
    </row>
    <row r="166" customFormat="false" ht="15" hidden="false" customHeight="false" outlineLevel="0" collapsed="false">
      <c r="A166" s="0" t="str">
        <f aca="false">IF('Deal Tracker'!C166="","",COUNTIF('Deal Tracker'!$C$2:C166,'Deal Tracker'!C166))</f>
        <v/>
      </c>
      <c r="B166" s="0" t="str">
        <f aca="false">IF(A166="","",'Deal Tracker'!C166&amp;"#"&amp;A166)</f>
        <v/>
      </c>
      <c r="C166" s="0" t="str">
        <f aca="false">IF('Deal Tracker'!B166="","",'Deal Tracker'!B166&amp;IF('Deal Tracker'!D166=""," — size TBD"," — $"&amp;TEXT('Deal Tracker'!D166,"#,##0")&amp;"M"))</f>
        <v/>
      </c>
    </row>
    <row r="167" customFormat="false" ht="15" hidden="false" customHeight="false" outlineLevel="0" collapsed="false">
      <c r="A167" s="0" t="str">
        <f aca="false">IF('Deal Tracker'!C167="","",COUNTIF('Deal Tracker'!$C$2:C167,'Deal Tracker'!C167))</f>
        <v/>
      </c>
      <c r="B167" s="0" t="str">
        <f aca="false">IF(A167="","",'Deal Tracker'!C167&amp;"#"&amp;A167)</f>
        <v/>
      </c>
      <c r="C167" s="0" t="str">
        <f aca="false">IF('Deal Tracker'!B167="","",'Deal Tracker'!B167&amp;IF('Deal Tracker'!D167=""," — size TBD"," — $"&amp;TEXT('Deal Tracker'!D167,"#,##0")&amp;"M"))</f>
        <v/>
      </c>
    </row>
    <row r="168" customFormat="false" ht="15" hidden="false" customHeight="false" outlineLevel="0" collapsed="false">
      <c r="A168" s="0" t="str">
        <f aca="false">IF('Deal Tracker'!C168="","",COUNTIF('Deal Tracker'!$C$2:C168,'Deal Tracker'!C168))</f>
        <v/>
      </c>
      <c r="B168" s="0" t="str">
        <f aca="false">IF(A168="","",'Deal Tracker'!C168&amp;"#"&amp;A168)</f>
        <v/>
      </c>
      <c r="C168" s="0" t="str">
        <f aca="false">IF('Deal Tracker'!B168="","",'Deal Tracker'!B168&amp;IF('Deal Tracker'!D168=""," — size TBD"," — $"&amp;TEXT('Deal Tracker'!D168,"#,##0")&amp;"M"))</f>
        <v/>
      </c>
    </row>
    <row r="169" customFormat="false" ht="15" hidden="false" customHeight="false" outlineLevel="0" collapsed="false">
      <c r="A169" s="0" t="str">
        <f aca="false">IF('Deal Tracker'!C169="","",COUNTIF('Deal Tracker'!$C$2:C169,'Deal Tracker'!C169))</f>
        <v/>
      </c>
      <c r="B169" s="0" t="str">
        <f aca="false">IF(A169="","",'Deal Tracker'!C169&amp;"#"&amp;A169)</f>
        <v/>
      </c>
      <c r="C169" s="0" t="str">
        <f aca="false">IF('Deal Tracker'!B169="","",'Deal Tracker'!B169&amp;IF('Deal Tracker'!D169=""," — size TBD"," — $"&amp;TEXT('Deal Tracker'!D169,"#,##0")&amp;"M"))</f>
        <v/>
      </c>
    </row>
    <row r="170" customFormat="false" ht="15" hidden="false" customHeight="false" outlineLevel="0" collapsed="false">
      <c r="A170" s="0" t="str">
        <f aca="false">IF('Deal Tracker'!C170="","",COUNTIF('Deal Tracker'!$C$2:C170,'Deal Tracker'!C170))</f>
        <v/>
      </c>
      <c r="B170" s="0" t="str">
        <f aca="false">IF(A170="","",'Deal Tracker'!C170&amp;"#"&amp;A170)</f>
        <v/>
      </c>
      <c r="C170" s="0" t="str">
        <f aca="false">IF('Deal Tracker'!B170="","",'Deal Tracker'!B170&amp;IF('Deal Tracker'!D170=""," — size TBD"," — $"&amp;TEXT('Deal Tracker'!D170,"#,##0")&amp;"M"))</f>
        <v/>
      </c>
    </row>
    <row r="171" customFormat="false" ht="15" hidden="false" customHeight="false" outlineLevel="0" collapsed="false">
      <c r="A171" s="0" t="str">
        <f aca="false">IF('Deal Tracker'!C171="","",COUNTIF('Deal Tracker'!$C$2:C171,'Deal Tracker'!C171))</f>
        <v/>
      </c>
      <c r="B171" s="0" t="str">
        <f aca="false">IF(A171="","",'Deal Tracker'!C171&amp;"#"&amp;A171)</f>
        <v/>
      </c>
      <c r="C171" s="0" t="str">
        <f aca="false">IF('Deal Tracker'!B171="","",'Deal Tracker'!B171&amp;IF('Deal Tracker'!D171=""," — size TBD"," — $"&amp;TEXT('Deal Tracker'!D171,"#,##0")&amp;"M"))</f>
        <v/>
      </c>
    </row>
    <row r="172" customFormat="false" ht="15" hidden="false" customHeight="false" outlineLevel="0" collapsed="false">
      <c r="A172" s="0" t="str">
        <f aca="false">IF('Deal Tracker'!C172="","",COUNTIF('Deal Tracker'!$C$2:C172,'Deal Tracker'!C172))</f>
        <v/>
      </c>
      <c r="B172" s="0" t="str">
        <f aca="false">IF(A172="","",'Deal Tracker'!C172&amp;"#"&amp;A172)</f>
        <v/>
      </c>
      <c r="C172" s="0" t="str">
        <f aca="false">IF('Deal Tracker'!B172="","",'Deal Tracker'!B172&amp;IF('Deal Tracker'!D172=""," — size TBD"," — $"&amp;TEXT('Deal Tracker'!D172,"#,##0")&amp;"M"))</f>
        <v/>
      </c>
    </row>
    <row r="173" customFormat="false" ht="15" hidden="false" customHeight="false" outlineLevel="0" collapsed="false">
      <c r="A173" s="0" t="str">
        <f aca="false">IF('Deal Tracker'!C173="","",COUNTIF('Deal Tracker'!$C$2:C173,'Deal Tracker'!C173))</f>
        <v/>
      </c>
      <c r="B173" s="0" t="str">
        <f aca="false">IF(A173="","",'Deal Tracker'!C173&amp;"#"&amp;A173)</f>
        <v/>
      </c>
      <c r="C173" s="0" t="str">
        <f aca="false">IF('Deal Tracker'!B173="","",'Deal Tracker'!B173&amp;IF('Deal Tracker'!D173=""," — size TBD"," — $"&amp;TEXT('Deal Tracker'!D173,"#,##0")&amp;"M"))</f>
        <v/>
      </c>
    </row>
    <row r="174" customFormat="false" ht="15" hidden="false" customHeight="false" outlineLevel="0" collapsed="false">
      <c r="A174" s="0" t="str">
        <f aca="false">IF('Deal Tracker'!C174="","",COUNTIF('Deal Tracker'!$C$2:C174,'Deal Tracker'!C174))</f>
        <v/>
      </c>
      <c r="B174" s="0" t="str">
        <f aca="false">IF(A174="","",'Deal Tracker'!C174&amp;"#"&amp;A174)</f>
        <v/>
      </c>
      <c r="C174" s="0" t="str">
        <f aca="false">IF('Deal Tracker'!B174="","",'Deal Tracker'!B174&amp;IF('Deal Tracker'!D174=""," — size TBD"," — $"&amp;TEXT('Deal Tracker'!D174,"#,##0")&amp;"M"))</f>
        <v/>
      </c>
    </row>
    <row r="175" customFormat="false" ht="15" hidden="false" customHeight="false" outlineLevel="0" collapsed="false">
      <c r="A175" s="0" t="str">
        <f aca="false">IF('Deal Tracker'!C175="","",COUNTIF('Deal Tracker'!$C$2:C175,'Deal Tracker'!C175))</f>
        <v/>
      </c>
      <c r="B175" s="0" t="str">
        <f aca="false">IF(A175="","",'Deal Tracker'!C175&amp;"#"&amp;A175)</f>
        <v/>
      </c>
      <c r="C175" s="0" t="str">
        <f aca="false">IF('Deal Tracker'!B175="","",'Deal Tracker'!B175&amp;IF('Deal Tracker'!D175=""," — size TBD"," — $"&amp;TEXT('Deal Tracker'!D175,"#,##0")&amp;"M"))</f>
        <v/>
      </c>
    </row>
    <row r="176" customFormat="false" ht="15" hidden="false" customHeight="false" outlineLevel="0" collapsed="false">
      <c r="A176" s="0" t="str">
        <f aca="false">IF('Deal Tracker'!C176="","",COUNTIF('Deal Tracker'!$C$2:C176,'Deal Tracker'!C176))</f>
        <v/>
      </c>
      <c r="B176" s="0" t="str">
        <f aca="false">IF(A176="","",'Deal Tracker'!C176&amp;"#"&amp;A176)</f>
        <v/>
      </c>
      <c r="C176" s="0" t="str">
        <f aca="false">IF('Deal Tracker'!B176="","",'Deal Tracker'!B176&amp;IF('Deal Tracker'!D176=""," — size TBD"," — $"&amp;TEXT('Deal Tracker'!D176,"#,##0")&amp;"M"))</f>
        <v/>
      </c>
    </row>
    <row r="177" customFormat="false" ht="15" hidden="false" customHeight="false" outlineLevel="0" collapsed="false">
      <c r="A177" s="0" t="str">
        <f aca="false">IF('Deal Tracker'!C177="","",COUNTIF('Deal Tracker'!$C$2:C177,'Deal Tracker'!C177))</f>
        <v/>
      </c>
      <c r="B177" s="0" t="str">
        <f aca="false">IF(A177="","",'Deal Tracker'!C177&amp;"#"&amp;A177)</f>
        <v/>
      </c>
      <c r="C177" s="0" t="str">
        <f aca="false">IF('Deal Tracker'!B177="","",'Deal Tracker'!B177&amp;IF('Deal Tracker'!D177=""," — size TBD"," — $"&amp;TEXT('Deal Tracker'!D177,"#,##0")&amp;"M"))</f>
        <v/>
      </c>
    </row>
    <row r="178" customFormat="false" ht="15" hidden="false" customHeight="false" outlineLevel="0" collapsed="false">
      <c r="A178" s="0" t="str">
        <f aca="false">IF('Deal Tracker'!C178="","",COUNTIF('Deal Tracker'!$C$2:C178,'Deal Tracker'!C178))</f>
        <v/>
      </c>
      <c r="B178" s="0" t="str">
        <f aca="false">IF(A178="","",'Deal Tracker'!C178&amp;"#"&amp;A178)</f>
        <v/>
      </c>
      <c r="C178" s="0" t="str">
        <f aca="false">IF('Deal Tracker'!B178="","",'Deal Tracker'!B178&amp;IF('Deal Tracker'!D178=""," — size TBD"," — $"&amp;TEXT('Deal Tracker'!D178,"#,##0")&amp;"M"))</f>
        <v/>
      </c>
    </row>
    <row r="179" customFormat="false" ht="15" hidden="false" customHeight="false" outlineLevel="0" collapsed="false">
      <c r="A179" s="0" t="str">
        <f aca="false">IF('Deal Tracker'!C179="","",COUNTIF('Deal Tracker'!$C$2:C179,'Deal Tracker'!C179))</f>
        <v/>
      </c>
      <c r="B179" s="0" t="str">
        <f aca="false">IF(A179="","",'Deal Tracker'!C179&amp;"#"&amp;A179)</f>
        <v/>
      </c>
      <c r="C179" s="0" t="str">
        <f aca="false">IF('Deal Tracker'!B179="","",'Deal Tracker'!B179&amp;IF('Deal Tracker'!D179=""," — size TBD"," — $"&amp;TEXT('Deal Tracker'!D179,"#,##0")&amp;"M"))</f>
        <v/>
      </c>
    </row>
    <row r="180" customFormat="false" ht="15" hidden="false" customHeight="false" outlineLevel="0" collapsed="false">
      <c r="A180" s="0" t="str">
        <f aca="false">IF('Deal Tracker'!C180="","",COUNTIF('Deal Tracker'!$C$2:C180,'Deal Tracker'!C180))</f>
        <v/>
      </c>
      <c r="B180" s="0" t="str">
        <f aca="false">IF(A180="","",'Deal Tracker'!C180&amp;"#"&amp;A180)</f>
        <v/>
      </c>
      <c r="C180" s="0" t="str">
        <f aca="false">IF('Deal Tracker'!B180="","",'Deal Tracker'!B180&amp;IF('Deal Tracker'!D180=""," — size TBD"," — $"&amp;TEXT('Deal Tracker'!D180,"#,##0")&amp;"M"))</f>
        <v/>
      </c>
    </row>
    <row r="181" customFormat="false" ht="15" hidden="false" customHeight="false" outlineLevel="0" collapsed="false">
      <c r="A181" s="0" t="str">
        <f aca="false">IF('Deal Tracker'!C181="","",COUNTIF('Deal Tracker'!$C$2:C181,'Deal Tracker'!C181))</f>
        <v/>
      </c>
      <c r="B181" s="0" t="str">
        <f aca="false">IF(A181="","",'Deal Tracker'!C181&amp;"#"&amp;A181)</f>
        <v/>
      </c>
      <c r="C181" s="0" t="str">
        <f aca="false">IF('Deal Tracker'!B181="","",'Deal Tracker'!B181&amp;IF('Deal Tracker'!D181=""," — size TBD"," — $"&amp;TEXT('Deal Tracker'!D181,"#,##0")&amp;"M"))</f>
        <v/>
      </c>
    </row>
    <row r="182" customFormat="false" ht="15" hidden="false" customHeight="false" outlineLevel="0" collapsed="false">
      <c r="A182" s="0" t="str">
        <f aca="false">IF('Deal Tracker'!C182="","",COUNTIF('Deal Tracker'!$C$2:C182,'Deal Tracker'!C182))</f>
        <v/>
      </c>
      <c r="B182" s="0" t="str">
        <f aca="false">IF(A182="","",'Deal Tracker'!C182&amp;"#"&amp;A182)</f>
        <v/>
      </c>
      <c r="C182" s="0" t="str">
        <f aca="false">IF('Deal Tracker'!B182="","",'Deal Tracker'!B182&amp;IF('Deal Tracker'!D182=""," — size TBD"," — $"&amp;TEXT('Deal Tracker'!D182,"#,##0")&amp;"M"))</f>
        <v/>
      </c>
    </row>
    <row r="183" customFormat="false" ht="15" hidden="false" customHeight="false" outlineLevel="0" collapsed="false">
      <c r="A183" s="0" t="str">
        <f aca="false">IF('Deal Tracker'!C183="","",COUNTIF('Deal Tracker'!$C$2:C183,'Deal Tracker'!C183))</f>
        <v/>
      </c>
      <c r="B183" s="0" t="str">
        <f aca="false">IF(A183="","",'Deal Tracker'!C183&amp;"#"&amp;A183)</f>
        <v/>
      </c>
      <c r="C183" s="0" t="str">
        <f aca="false">IF('Deal Tracker'!B183="","",'Deal Tracker'!B183&amp;IF('Deal Tracker'!D183=""," — size TBD"," — $"&amp;TEXT('Deal Tracker'!D183,"#,##0")&amp;"M"))</f>
        <v/>
      </c>
    </row>
    <row r="184" customFormat="false" ht="15" hidden="false" customHeight="false" outlineLevel="0" collapsed="false">
      <c r="A184" s="0" t="str">
        <f aca="false">IF('Deal Tracker'!C184="","",COUNTIF('Deal Tracker'!$C$2:C184,'Deal Tracker'!C184))</f>
        <v/>
      </c>
      <c r="B184" s="0" t="str">
        <f aca="false">IF(A184="","",'Deal Tracker'!C184&amp;"#"&amp;A184)</f>
        <v/>
      </c>
      <c r="C184" s="0" t="str">
        <f aca="false">IF('Deal Tracker'!B184="","",'Deal Tracker'!B184&amp;IF('Deal Tracker'!D184=""," — size TBD"," — $"&amp;TEXT('Deal Tracker'!D184,"#,##0")&amp;"M"))</f>
        <v/>
      </c>
    </row>
    <row r="185" customFormat="false" ht="15" hidden="false" customHeight="false" outlineLevel="0" collapsed="false">
      <c r="A185" s="0" t="str">
        <f aca="false">IF('Deal Tracker'!C185="","",COUNTIF('Deal Tracker'!$C$2:C185,'Deal Tracker'!C185))</f>
        <v/>
      </c>
      <c r="B185" s="0" t="str">
        <f aca="false">IF(A185="","",'Deal Tracker'!C185&amp;"#"&amp;A185)</f>
        <v/>
      </c>
      <c r="C185" s="0" t="str">
        <f aca="false">IF('Deal Tracker'!B185="","",'Deal Tracker'!B185&amp;IF('Deal Tracker'!D185=""," — size TBD"," — $"&amp;TEXT('Deal Tracker'!D185,"#,##0")&amp;"M"))</f>
        <v/>
      </c>
    </row>
    <row r="186" customFormat="false" ht="15" hidden="false" customHeight="false" outlineLevel="0" collapsed="false">
      <c r="A186" s="0" t="str">
        <f aca="false">IF('Deal Tracker'!C186="","",COUNTIF('Deal Tracker'!$C$2:C186,'Deal Tracker'!C186))</f>
        <v/>
      </c>
      <c r="B186" s="0" t="str">
        <f aca="false">IF(A186="","",'Deal Tracker'!C186&amp;"#"&amp;A186)</f>
        <v/>
      </c>
      <c r="C186" s="0" t="str">
        <f aca="false">IF('Deal Tracker'!B186="","",'Deal Tracker'!B186&amp;IF('Deal Tracker'!D186=""," — size TBD"," — $"&amp;TEXT('Deal Tracker'!D186,"#,##0")&amp;"M"))</f>
        <v/>
      </c>
    </row>
    <row r="187" customFormat="false" ht="15" hidden="false" customHeight="false" outlineLevel="0" collapsed="false">
      <c r="A187" s="0" t="str">
        <f aca="false">IF('Deal Tracker'!C187="","",COUNTIF('Deal Tracker'!$C$2:C187,'Deal Tracker'!C187))</f>
        <v/>
      </c>
      <c r="B187" s="0" t="str">
        <f aca="false">IF(A187="","",'Deal Tracker'!C187&amp;"#"&amp;A187)</f>
        <v/>
      </c>
      <c r="C187" s="0" t="str">
        <f aca="false">IF('Deal Tracker'!B187="","",'Deal Tracker'!B187&amp;IF('Deal Tracker'!D187=""," — size TBD"," — $"&amp;TEXT('Deal Tracker'!D187,"#,##0")&amp;"M"))</f>
        <v/>
      </c>
    </row>
    <row r="188" customFormat="false" ht="15" hidden="false" customHeight="false" outlineLevel="0" collapsed="false">
      <c r="A188" s="0" t="str">
        <f aca="false">IF('Deal Tracker'!C188="","",COUNTIF('Deal Tracker'!$C$2:C188,'Deal Tracker'!C188))</f>
        <v/>
      </c>
      <c r="B188" s="0" t="str">
        <f aca="false">IF(A188="","",'Deal Tracker'!C188&amp;"#"&amp;A188)</f>
        <v/>
      </c>
      <c r="C188" s="0" t="str">
        <f aca="false">IF('Deal Tracker'!B188="","",'Deal Tracker'!B188&amp;IF('Deal Tracker'!D188=""," — size TBD"," — $"&amp;TEXT('Deal Tracker'!D188,"#,##0")&amp;"M"))</f>
        <v/>
      </c>
    </row>
    <row r="189" customFormat="false" ht="15" hidden="false" customHeight="false" outlineLevel="0" collapsed="false">
      <c r="A189" s="0" t="str">
        <f aca="false">IF('Deal Tracker'!C189="","",COUNTIF('Deal Tracker'!$C$2:C189,'Deal Tracker'!C189))</f>
        <v/>
      </c>
      <c r="B189" s="0" t="str">
        <f aca="false">IF(A189="","",'Deal Tracker'!C189&amp;"#"&amp;A189)</f>
        <v/>
      </c>
      <c r="C189" s="0" t="str">
        <f aca="false">IF('Deal Tracker'!B189="","",'Deal Tracker'!B189&amp;IF('Deal Tracker'!D189=""," — size TBD"," — $"&amp;TEXT('Deal Tracker'!D189,"#,##0")&amp;"M"))</f>
        <v/>
      </c>
    </row>
    <row r="190" customFormat="false" ht="15" hidden="false" customHeight="false" outlineLevel="0" collapsed="false">
      <c r="A190" s="0" t="str">
        <f aca="false">IF('Deal Tracker'!C190="","",COUNTIF('Deal Tracker'!$C$2:C190,'Deal Tracker'!C190))</f>
        <v/>
      </c>
      <c r="B190" s="0" t="str">
        <f aca="false">IF(A190="","",'Deal Tracker'!C190&amp;"#"&amp;A190)</f>
        <v/>
      </c>
      <c r="C190" s="0" t="str">
        <f aca="false">IF('Deal Tracker'!B190="","",'Deal Tracker'!B190&amp;IF('Deal Tracker'!D190=""," — size TBD"," — $"&amp;TEXT('Deal Tracker'!D190,"#,##0")&amp;"M"))</f>
        <v/>
      </c>
    </row>
    <row r="191" customFormat="false" ht="15" hidden="false" customHeight="false" outlineLevel="0" collapsed="false">
      <c r="A191" s="0" t="str">
        <f aca="false">IF('Deal Tracker'!C191="","",COUNTIF('Deal Tracker'!$C$2:C191,'Deal Tracker'!C191))</f>
        <v/>
      </c>
      <c r="B191" s="0" t="str">
        <f aca="false">IF(A191="","",'Deal Tracker'!C191&amp;"#"&amp;A191)</f>
        <v/>
      </c>
      <c r="C191" s="0" t="str">
        <f aca="false">IF('Deal Tracker'!B191="","",'Deal Tracker'!B191&amp;IF('Deal Tracker'!D191=""," — size TBD"," — $"&amp;TEXT('Deal Tracker'!D191,"#,##0")&amp;"M"))</f>
        <v/>
      </c>
    </row>
    <row r="192" customFormat="false" ht="15" hidden="false" customHeight="false" outlineLevel="0" collapsed="false">
      <c r="A192" s="0" t="str">
        <f aca="false">IF('Deal Tracker'!C192="","",COUNTIF('Deal Tracker'!$C$2:C192,'Deal Tracker'!C192))</f>
        <v/>
      </c>
      <c r="B192" s="0" t="str">
        <f aca="false">IF(A192="","",'Deal Tracker'!C192&amp;"#"&amp;A192)</f>
        <v/>
      </c>
      <c r="C192" s="0" t="str">
        <f aca="false">IF('Deal Tracker'!B192="","",'Deal Tracker'!B192&amp;IF('Deal Tracker'!D192=""," — size TBD"," — $"&amp;TEXT('Deal Tracker'!D192,"#,##0")&amp;"M"))</f>
        <v/>
      </c>
    </row>
    <row r="193" customFormat="false" ht="15" hidden="false" customHeight="false" outlineLevel="0" collapsed="false">
      <c r="A193" s="0" t="str">
        <f aca="false">IF('Deal Tracker'!C193="","",COUNTIF('Deal Tracker'!$C$2:C193,'Deal Tracker'!C193))</f>
        <v/>
      </c>
      <c r="B193" s="0" t="str">
        <f aca="false">IF(A193="","",'Deal Tracker'!C193&amp;"#"&amp;A193)</f>
        <v/>
      </c>
      <c r="C193" s="0" t="str">
        <f aca="false">IF('Deal Tracker'!B193="","",'Deal Tracker'!B193&amp;IF('Deal Tracker'!D193=""," — size TBD"," — $"&amp;TEXT('Deal Tracker'!D193,"#,##0")&amp;"M"))</f>
        <v/>
      </c>
    </row>
    <row r="194" customFormat="false" ht="15" hidden="false" customHeight="false" outlineLevel="0" collapsed="false">
      <c r="A194" s="0" t="str">
        <f aca="false">IF('Deal Tracker'!C194="","",COUNTIF('Deal Tracker'!$C$2:C194,'Deal Tracker'!C194))</f>
        <v/>
      </c>
      <c r="B194" s="0" t="str">
        <f aca="false">IF(A194="","",'Deal Tracker'!C194&amp;"#"&amp;A194)</f>
        <v/>
      </c>
      <c r="C194" s="0" t="str">
        <f aca="false">IF('Deal Tracker'!B194="","",'Deal Tracker'!B194&amp;IF('Deal Tracker'!D194=""," — size TBD"," — $"&amp;TEXT('Deal Tracker'!D194,"#,##0")&amp;"M"))</f>
        <v/>
      </c>
    </row>
    <row r="195" customFormat="false" ht="15" hidden="false" customHeight="false" outlineLevel="0" collapsed="false">
      <c r="A195" s="0" t="str">
        <f aca="false">IF('Deal Tracker'!C195="","",COUNTIF('Deal Tracker'!$C$2:C195,'Deal Tracker'!C195))</f>
        <v/>
      </c>
      <c r="B195" s="0" t="str">
        <f aca="false">IF(A195="","",'Deal Tracker'!C195&amp;"#"&amp;A195)</f>
        <v/>
      </c>
      <c r="C195" s="0" t="str">
        <f aca="false">IF('Deal Tracker'!B195="","",'Deal Tracker'!B195&amp;IF('Deal Tracker'!D195=""," — size TBD"," — $"&amp;TEXT('Deal Tracker'!D195,"#,##0")&amp;"M"))</f>
        <v/>
      </c>
    </row>
    <row r="196" customFormat="false" ht="15" hidden="false" customHeight="false" outlineLevel="0" collapsed="false">
      <c r="A196" s="0" t="str">
        <f aca="false">IF('Deal Tracker'!C196="","",COUNTIF('Deal Tracker'!$C$2:C196,'Deal Tracker'!C196))</f>
        <v/>
      </c>
      <c r="B196" s="0" t="str">
        <f aca="false">IF(A196="","",'Deal Tracker'!C196&amp;"#"&amp;A196)</f>
        <v/>
      </c>
      <c r="C196" s="0" t="str">
        <f aca="false">IF('Deal Tracker'!B196="","",'Deal Tracker'!B196&amp;IF('Deal Tracker'!D196=""," — size TBD"," — $"&amp;TEXT('Deal Tracker'!D196,"#,##0")&amp;"M"))</f>
        <v/>
      </c>
    </row>
    <row r="197" customFormat="false" ht="15" hidden="false" customHeight="false" outlineLevel="0" collapsed="false">
      <c r="A197" s="0" t="str">
        <f aca="false">IF('Deal Tracker'!C197="","",COUNTIF('Deal Tracker'!$C$2:C197,'Deal Tracker'!C197))</f>
        <v/>
      </c>
      <c r="B197" s="0" t="str">
        <f aca="false">IF(A197="","",'Deal Tracker'!C197&amp;"#"&amp;A197)</f>
        <v/>
      </c>
      <c r="C197" s="0" t="str">
        <f aca="false">IF('Deal Tracker'!B197="","",'Deal Tracker'!B197&amp;IF('Deal Tracker'!D197=""," — size TBD"," — $"&amp;TEXT('Deal Tracker'!D197,"#,##0")&amp;"M"))</f>
        <v/>
      </c>
    </row>
    <row r="198" customFormat="false" ht="15" hidden="false" customHeight="false" outlineLevel="0" collapsed="false">
      <c r="A198" s="0" t="str">
        <f aca="false">IF('Deal Tracker'!C198="","",COUNTIF('Deal Tracker'!$C$2:C198,'Deal Tracker'!C198))</f>
        <v/>
      </c>
      <c r="B198" s="0" t="str">
        <f aca="false">IF(A198="","",'Deal Tracker'!C198&amp;"#"&amp;A198)</f>
        <v/>
      </c>
      <c r="C198" s="0" t="str">
        <f aca="false">IF('Deal Tracker'!B198="","",'Deal Tracker'!B198&amp;IF('Deal Tracker'!D198=""," — size TBD"," — $"&amp;TEXT('Deal Tracker'!D198,"#,##0")&amp;"M"))</f>
        <v/>
      </c>
    </row>
    <row r="199" customFormat="false" ht="15" hidden="false" customHeight="false" outlineLevel="0" collapsed="false">
      <c r="A199" s="0" t="str">
        <f aca="false">IF('Deal Tracker'!C199="","",COUNTIF('Deal Tracker'!$C$2:C199,'Deal Tracker'!C199))</f>
        <v/>
      </c>
      <c r="B199" s="0" t="str">
        <f aca="false">IF(A199="","",'Deal Tracker'!C199&amp;"#"&amp;A199)</f>
        <v/>
      </c>
      <c r="C199" s="0" t="str">
        <f aca="false">IF('Deal Tracker'!B199="","",'Deal Tracker'!B199&amp;IF('Deal Tracker'!D199=""," — size TBD"," — $"&amp;TEXT('Deal Tracker'!D199,"#,##0")&amp;"M"))</f>
        <v/>
      </c>
    </row>
    <row r="200" customFormat="false" ht="15" hidden="false" customHeight="false" outlineLevel="0" collapsed="false">
      <c r="A200" s="0" t="str">
        <f aca="false">IF('Deal Tracker'!C200="","",COUNTIF('Deal Tracker'!$C$2:C200,'Deal Tracker'!C200))</f>
        <v/>
      </c>
      <c r="B200" s="0" t="str">
        <f aca="false">IF(A200="","",'Deal Tracker'!C200&amp;"#"&amp;A200)</f>
        <v/>
      </c>
      <c r="C200" s="0" t="str">
        <f aca="false">IF('Deal Tracker'!B200="","",'Deal Tracker'!B200&amp;IF('Deal Tracker'!D200=""," — size TBD"," — $"&amp;TEXT('Deal Tracker'!D200,"#,##0")&amp;"M"))</f>
        <v/>
      </c>
    </row>
    <row r="201" customFormat="false" ht="15" hidden="false" customHeight="false" outlineLevel="0" collapsed="false">
      <c r="A201" s="0" t="str">
        <f aca="false">IF('Deal Tracker'!C201="","",COUNTIF('Deal Tracker'!$C$2:C201,'Deal Tracker'!C201))</f>
        <v/>
      </c>
      <c r="B201" s="0" t="str">
        <f aca="false">IF(A201="","",'Deal Tracker'!C201&amp;"#"&amp;A201)</f>
        <v/>
      </c>
      <c r="C201" s="0" t="str">
        <f aca="false">IF('Deal Tracker'!B201="","",'Deal Tracker'!B201&amp;IF('Deal Tracker'!D201=""," — size TBD"," — $"&amp;TEXT('Deal Tracker'!D201,"#,##0")&amp;"M"))</f>
        <v/>
      </c>
    </row>
    <row r="202" customFormat="false" ht="15" hidden="false" customHeight="false" outlineLevel="0" collapsed="false">
      <c r="A202" s="0" t="str">
        <f aca="false">IF('Deal Tracker'!C202="","",COUNTIF('Deal Tracker'!$C$2:C202,'Deal Tracker'!C202))</f>
        <v/>
      </c>
      <c r="B202" s="0" t="str">
        <f aca="false">IF(A202="","",'Deal Tracker'!C202&amp;"#"&amp;A202)</f>
        <v/>
      </c>
      <c r="C202" s="0" t="str">
        <f aca="false">IF('Deal Tracker'!B202="","",'Deal Tracker'!B202&amp;IF('Deal Tracker'!D202=""," — size TBD"," — $"&amp;TEXT('Deal Tracker'!D202,"#,##0")&amp;"M"))</f>
        <v/>
      </c>
    </row>
    <row r="203" customFormat="false" ht="15" hidden="false" customHeight="false" outlineLevel="0" collapsed="false">
      <c r="A203" s="0" t="str">
        <f aca="false">IF('Deal Tracker'!C203="","",COUNTIF('Deal Tracker'!$C$2:C203,'Deal Tracker'!C203))</f>
        <v/>
      </c>
      <c r="B203" s="0" t="str">
        <f aca="false">IF(A203="","",'Deal Tracker'!C203&amp;"#"&amp;A203)</f>
        <v/>
      </c>
      <c r="C203" s="0" t="str">
        <f aca="false">IF('Deal Tracker'!B203="","",'Deal Tracker'!B203&amp;IF('Deal Tracker'!D203=""," — size TBD"," — $"&amp;TEXT('Deal Tracker'!D203,"#,##0")&amp;"M"))</f>
        <v/>
      </c>
    </row>
    <row r="204" customFormat="false" ht="15" hidden="false" customHeight="false" outlineLevel="0" collapsed="false">
      <c r="A204" s="0" t="str">
        <f aca="false">IF('Deal Tracker'!C204="","",COUNTIF('Deal Tracker'!$C$2:C204,'Deal Tracker'!C204))</f>
        <v/>
      </c>
      <c r="B204" s="0" t="str">
        <f aca="false">IF(A204="","",'Deal Tracker'!C204&amp;"#"&amp;A204)</f>
        <v/>
      </c>
      <c r="C204" s="0" t="str">
        <f aca="false">IF('Deal Tracker'!B204="","",'Deal Tracker'!B204&amp;IF('Deal Tracker'!D204=""," — size TBD"," — $"&amp;TEXT('Deal Tracker'!D204,"#,##0")&amp;"M"))</f>
        <v/>
      </c>
    </row>
    <row r="205" customFormat="false" ht="15" hidden="false" customHeight="false" outlineLevel="0" collapsed="false">
      <c r="A205" s="0" t="str">
        <f aca="false">IF('Deal Tracker'!C205="","",COUNTIF('Deal Tracker'!$C$2:C205,'Deal Tracker'!C205))</f>
        <v/>
      </c>
      <c r="B205" s="0" t="str">
        <f aca="false">IF(A205="","",'Deal Tracker'!C205&amp;"#"&amp;A205)</f>
        <v/>
      </c>
      <c r="C205" s="0" t="str">
        <f aca="false">IF('Deal Tracker'!B205="","",'Deal Tracker'!B205&amp;IF('Deal Tracker'!D205=""," — size TBD"," — $"&amp;TEXT('Deal Tracker'!D205,"#,##0")&amp;"M"))</f>
        <v/>
      </c>
    </row>
    <row r="206" customFormat="false" ht="15" hidden="false" customHeight="false" outlineLevel="0" collapsed="false">
      <c r="A206" s="0" t="str">
        <f aca="false">IF('Deal Tracker'!C206="","",COUNTIF('Deal Tracker'!$C$2:C206,'Deal Tracker'!C206))</f>
        <v/>
      </c>
      <c r="B206" s="0" t="str">
        <f aca="false">IF(A206="","",'Deal Tracker'!C206&amp;"#"&amp;A206)</f>
        <v/>
      </c>
      <c r="C206" s="0" t="str">
        <f aca="false">IF('Deal Tracker'!B206="","",'Deal Tracker'!B206&amp;IF('Deal Tracker'!D206=""," — size TBD"," — $"&amp;TEXT('Deal Tracker'!D206,"#,##0")&amp;"M"))</f>
        <v/>
      </c>
    </row>
    <row r="207" customFormat="false" ht="15" hidden="false" customHeight="false" outlineLevel="0" collapsed="false">
      <c r="A207" s="0" t="str">
        <f aca="false">IF('Deal Tracker'!C207="","",COUNTIF('Deal Tracker'!$C$2:C207,'Deal Tracker'!C207))</f>
        <v/>
      </c>
      <c r="B207" s="0" t="str">
        <f aca="false">IF(A207="","",'Deal Tracker'!C207&amp;"#"&amp;A207)</f>
        <v/>
      </c>
      <c r="C207" s="0" t="str">
        <f aca="false">IF('Deal Tracker'!B207="","",'Deal Tracker'!B207&amp;IF('Deal Tracker'!D207=""," — size TBD"," — $"&amp;TEXT('Deal Tracker'!D207,"#,##0")&amp;"M"))</f>
        <v/>
      </c>
    </row>
    <row r="208" customFormat="false" ht="15" hidden="false" customHeight="false" outlineLevel="0" collapsed="false">
      <c r="A208" s="0" t="str">
        <f aca="false">IF('Deal Tracker'!C208="","",COUNTIF('Deal Tracker'!$C$2:C208,'Deal Tracker'!C208))</f>
        <v/>
      </c>
      <c r="B208" s="0" t="str">
        <f aca="false">IF(A208="","",'Deal Tracker'!C208&amp;"#"&amp;A208)</f>
        <v/>
      </c>
      <c r="C208" s="0" t="str">
        <f aca="false">IF('Deal Tracker'!B208="","",'Deal Tracker'!B208&amp;IF('Deal Tracker'!D208=""," — size TBD"," — $"&amp;TEXT('Deal Tracker'!D208,"#,##0")&amp;"M"))</f>
        <v/>
      </c>
    </row>
    <row r="209" customFormat="false" ht="15" hidden="false" customHeight="false" outlineLevel="0" collapsed="false">
      <c r="A209" s="0" t="str">
        <f aca="false">IF('Deal Tracker'!C209="","",COUNTIF('Deal Tracker'!$C$2:C209,'Deal Tracker'!C209))</f>
        <v/>
      </c>
      <c r="B209" s="0" t="str">
        <f aca="false">IF(A209="","",'Deal Tracker'!C209&amp;"#"&amp;A209)</f>
        <v/>
      </c>
      <c r="C209" s="0" t="str">
        <f aca="false">IF('Deal Tracker'!B209="","",'Deal Tracker'!B209&amp;IF('Deal Tracker'!D209=""," — size TBD"," — $"&amp;TEXT('Deal Tracker'!D209,"#,##0")&amp;"M"))</f>
        <v/>
      </c>
    </row>
    <row r="210" customFormat="false" ht="15" hidden="false" customHeight="false" outlineLevel="0" collapsed="false">
      <c r="A210" s="0" t="str">
        <f aca="false">IF('Deal Tracker'!C210="","",COUNTIF('Deal Tracker'!$C$2:C210,'Deal Tracker'!C210))</f>
        <v/>
      </c>
      <c r="B210" s="0" t="str">
        <f aca="false">IF(A210="","",'Deal Tracker'!C210&amp;"#"&amp;A210)</f>
        <v/>
      </c>
      <c r="C210" s="0" t="str">
        <f aca="false">IF('Deal Tracker'!B210="","",'Deal Tracker'!B210&amp;IF('Deal Tracker'!D210=""," — size TBD"," — $"&amp;TEXT('Deal Tracker'!D210,"#,##0")&amp;"M"))</f>
        <v/>
      </c>
    </row>
    <row r="211" customFormat="false" ht="15" hidden="false" customHeight="false" outlineLevel="0" collapsed="false">
      <c r="A211" s="0" t="str">
        <f aca="false">IF('Deal Tracker'!C211="","",COUNTIF('Deal Tracker'!$C$2:C211,'Deal Tracker'!C211))</f>
        <v/>
      </c>
      <c r="B211" s="0" t="str">
        <f aca="false">IF(A211="","",'Deal Tracker'!C211&amp;"#"&amp;A211)</f>
        <v/>
      </c>
      <c r="C211" s="0" t="str">
        <f aca="false">IF('Deal Tracker'!B211="","",'Deal Tracker'!B211&amp;IF('Deal Tracker'!D211=""," — size TBD"," — $"&amp;TEXT('Deal Tracker'!D211,"#,##0")&amp;"M"))</f>
        <v/>
      </c>
    </row>
    <row r="212" customFormat="false" ht="15" hidden="false" customHeight="false" outlineLevel="0" collapsed="false">
      <c r="A212" s="0" t="str">
        <f aca="false">IF('Deal Tracker'!C212="","",COUNTIF('Deal Tracker'!$C$2:C212,'Deal Tracker'!C212))</f>
        <v/>
      </c>
      <c r="B212" s="0" t="str">
        <f aca="false">IF(A212="","",'Deal Tracker'!C212&amp;"#"&amp;A212)</f>
        <v/>
      </c>
      <c r="C212" s="0" t="str">
        <f aca="false">IF('Deal Tracker'!B212="","",'Deal Tracker'!B212&amp;IF('Deal Tracker'!D212=""," — size TBD"," — $"&amp;TEXT('Deal Tracker'!D212,"#,##0")&amp;"M"))</f>
        <v/>
      </c>
    </row>
    <row r="213" customFormat="false" ht="15" hidden="false" customHeight="false" outlineLevel="0" collapsed="false">
      <c r="A213" s="0" t="str">
        <f aca="false">IF('Deal Tracker'!C213="","",COUNTIF('Deal Tracker'!$C$2:C213,'Deal Tracker'!C213))</f>
        <v/>
      </c>
      <c r="B213" s="0" t="str">
        <f aca="false">IF(A213="","",'Deal Tracker'!C213&amp;"#"&amp;A213)</f>
        <v/>
      </c>
      <c r="C213" s="0" t="str">
        <f aca="false">IF('Deal Tracker'!B213="","",'Deal Tracker'!B213&amp;IF('Deal Tracker'!D213=""," — size TBD"," — $"&amp;TEXT('Deal Tracker'!D213,"#,##0")&amp;"M"))</f>
        <v/>
      </c>
    </row>
    <row r="214" customFormat="false" ht="15" hidden="false" customHeight="false" outlineLevel="0" collapsed="false">
      <c r="A214" s="0" t="str">
        <f aca="false">IF('Deal Tracker'!C214="","",COUNTIF('Deal Tracker'!$C$2:C214,'Deal Tracker'!C214))</f>
        <v/>
      </c>
      <c r="B214" s="0" t="str">
        <f aca="false">IF(A214="","",'Deal Tracker'!C214&amp;"#"&amp;A214)</f>
        <v/>
      </c>
      <c r="C214" s="0" t="str">
        <f aca="false">IF('Deal Tracker'!B214="","",'Deal Tracker'!B214&amp;IF('Deal Tracker'!D214=""," — size TBD"," — $"&amp;TEXT('Deal Tracker'!D214,"#,##0")&amp;"M"))</f>
        <v/>
      </c>
    </row>
    <row r="215" customFormat="false" ht="15" hidden="false" customHeight="false" outlineLevel="0" collapsed="false">
      <c r="A215" s="0" t="str">
        <f aca="false">IF('Deal Tracker'!C215="","",COUNTIF('Deal Tracker'!$C$2:C215,'Deal Tracker'!C215))</f>
        <v/>
      </c>
      <c r="B215" s="0" t="str">
        <f aca="false">IF(A215="","",'Deal Tracker'!C215&amp;"#"&amp;A215)</f>
        <v/>
      </c>
      <c r="C215" s="0" t="str">
        <f aca="false">IF('Deal Tracker'!B215="","",'Deal Tracker'!B215&amp;IF('Deal Tracker'!D215=""," — size TBD"," — $"&amp;TEXT('Deal Tracker'!D215,"#,##0")&amp;"M"))</f>
        <v/>
      </c>
    </row>
    <row r="216" customFormat="false" ht="15" hidden="false" customHeight="false" outlineLevel="0" collapsed="false">
      <c r="A216" s="0" t="str">
        <f aca="false">IF('Deal Tracker'!C216="","",COUNTIF('Deal Tracker'!$C$2:C216,'Deal Tracker'!C216))</f>
        <v/>
      </c>
      <c r="B216" s="0" t="str">
        <f aca="false">IF(A216="","",'Deal Tracker'!C216&amp;"#"&amp;A216)</f>
        <v/>
      </c>
      <c r="C216" s="0" t="str">
        <f aca="false">IF('Deal Tracker'!B216="","",'Deal Tracker'!B216&amp;IF('Deal Tracker'!D216=""," — size TBD"," — $"&amp;TEXT('Deal Tracker'!D216,"#,##0")&amp;"M"))</f>
        <v/>
      </c>
    </row>
    <row r="217" customFormat="false" ht="15" hidden="false" customHeight="false" outlineLevel="0" collapsed="false">
      <c r="A217" s="0" t="str">
        <f aca="false">IF('Deal Tracker'!C217="","",COUNTIF('Deal Tracker'!$C$2:C217,'Deal Tracker'!C217))</f>
        <v/>
      </c>
      <c r="B217" s="0" t="str">
        <f aca="false">IF(A217="","",'Deal Tracker'!C217&amp;"#"&amp;A217)</f>
        <v/>
      </c>
      <c r="C217" s="0" t="str">
        <f aca="false">IF('Deal Tracker'!B217="","",'Deal Tracker'!B217&amp;IF('Deal Tracker'!D217=""," — size TBD"," — $"&amp;TEXT('Deal Tracker'!D217,"#,##0")&amp;"M"))</f>
        <v/>
      </c>
    </row>
    <row r="218" customFormat="false" ht="15" hidden="false" customHeight="false" outlineLevel="0" collapsed="false">
      <c r="A218" s="0" t="str">
        <f aca="false">IF('Deal Tracker'!C218="","",COUNTIF('Deal Tracker'!$C$2:C218,'Deal Tracker'!C218))</f>
        <v/>
      </c>
      <c r="B218" s="0" t="str">
        <f aca="false">IF(A218="","",'Deal Tracker'!C218&amp;"#"&amp;A218)</f>
        <v/>
      </c>
      <c r="C218" s="0" t="str">
        <f aca="false">IF('Deal Tracker'!B218="","",'Deal Tracker'!B218&amp;IF('Deal Tracker'!D218=""," — size TBD"," — $"&amp;TEXT('Deal Tracker'!D218,"#,##0")&amp;"M"))</f>
        <v/>
      </c>
    </row>
    <row r="219" customFormat="false" ht="15" hidden="false" customHeight="false" outlineLevel="0" collapsed="false">
      <c r="A219" s="0" t="str">
        <f aca="false">IF('Deal Tracker'!C219="","",COUNTIF('Deal Tracker'!$C$2:C219,'Deal Tracker'!C219))</f>
        <v/>
      </c>
      <c r="B219" s="0" t="str">
        <f aca="false">IF(A219="","",'Deal Tracker'!C219&amp;"#"&amp;A219)</f>
        <v/>
      </c>
      <c r="C219" s="0" t="str">
        <f aca="false">IF('Deal Tracker'!B219="","",'Deal Tracker'!B219&amp;IF('Deal Tracker'!D219=""," — size TBD"," — $"&amp;TEXT('Deal Tracker'!D219,"#,##0")&amp;"M"))</f>
        <v/>
      </c>
    </row>
    <row r="220" customFormat="false" ht="15" hidden="false" customHeight="false" outlineLevel="0" collapsed="false">
      <c r="A220" s="0" t="str">
        <f aca="false">IF('Deal Tracker'!C220="","",COUNTIF('Deal Tracker'!$C$2:C220,'Deal Tracker'!C220))</f>
        <v/>
      </c>
      <c r="B220" s="0" t="str">
        <f aca="false">IF(A220="","",'Deal Tracker'!C220&amp;"#"&amp;A220)</f>
        <v/>
      </c>
      <c r="C220" s="0" t="str">
        <f aca="false">IF('Deal Tracker'!B220="","",'Deal Tracker'!B220&amp;IF('Deal Tracker'!D220=""," — size TBD"," — $"&amp;TEXT('Deal Tracker'!D220,"#,##0")&amp;"M"))</f>
        <v/>
      </c>
    </row>
    <row r="221" customFormat="false" ht="15" hidden="false" customHeight="false" outlineLevel="0" collapsed="false">
      <c r="A221" s="0" t="str">
        <f aca="false">IF('Deal Tracker'!C221="","",COUNTIF('Deal Tracker'!$C$2:C221,'Deal Tracker'!C221))</f>
        <v/>
      </c>
      <c r="B221" s="0" t="str">
        <f aca="false">IF(A221="","",'Deal Tracker'!C221&amp;"#"&amp;A221)</f>
        <v/>
      </c>
      <c r="C221" s="0" t="str">
        <f aca="false">IF('Deal Tracker'!B221="","",'Deal Tracker'!B221&amp;IF('Deal Tracker'!D221=""," — size TBD"," — $"&amp;TEXT('Deal Tracker'!D221,"#,##0")&amp;"M"))</f>
        <v/>
      </c>
    </row>
    <row r="222" customFormat="false" ht="15" hidden="false" customHeight="false" outlineLevel="0" collapsed="false">
      <c r="A222" s="0" t="str">
        <f aca="false">IF('Deal Tracker'!C222="","",COUNTIF('Deal Tracker'!$C$2:C222,'Deal Tracker'!C222))</f>
        <v/>
      </c>
      <c r="B222" s="0" t="str">
        <f aca="false">IF(A222="","",'Deal Tracker'!C222&amp;"#"&amp;A222)</f>
        <v/>
      </c>
      <c r="C222" s="0" t="str">
        <f aca="false">IF('Deal Tracker'!B222="","",'Deal Tracker'!B222&amp;IF('Deal Tracker'!D222=""," — size TBD"," — $"&amp;TEXT('Deal Tracker'!D222,"#,##0")&amp;"M"))</f>
        <v/>
      </c>
    </row>
    <row r="223" customFormat="false" ht="15" hidden="false" customHeight="false" outlineLevel="0" collapsed="false">
      <c r="A223" s="0" t="str">
        <f aca="false">IF('Deal Tracker'!C223="","",COUNTIF('Deal Tracker'!$C$2:C223,'Deal Tracker'!C223))</f>
        <v/>
      </c>
      <c r="B223" s="0" t="str">
        <f aca="false">IF(A223="","",'Deal Tracker'!C223&amp;"#"&amp;A223)</f>
        <v/>
      </c>
      <c r="C223" s="0" t="str">
        <f aca="false">IF('Deal Tracker'!B223="","",'Deal Tracker'!B223&amp;IF('Deal Tracker'!D223=""," — size TBD"," — $"&amp;TEXT('Deal Tracker'!D223,"#,##0")&amp;"M"))</f>
        <v/>
      </c>
    </row>
    <row r="224" customFormat="false" ht="15" hidden="false" customHeight="false" outlineLevel="0" collapsed="false">
      <c r="A224" s="0" t="str">
        <f aca="false">IF('Deal Tracker'!C224="","",COUNTIF('Deal Tracker'!$C$2:C224,'Deal Tracker'!C224))</f>
        <v/>
      </c>
      <c r="B224" s="0" t="str">
        <f aca="false">IF(A224="","",'Deal Tracker'!C224&amp;"#"&amp;A224)</f>
        <v/>
      </c>
      <c r="C224" s="0" t="str">
        <f aca="false">IF('Deal Tracker'!B224="","",'Deal Tracker'!B224&amp;IF('Deal Tracker'!D224=""," — size TBD"," — $"&amp;TEXT('Deal Tracker'!D224,"#,##0")&amp;"M"))</f>
        <v/>
      </c>
    </row>
    <row r="225" customFormat="false" ht="15" hidden="false" customHeight="false" outlineLevel="0" collapsed="false">
      <c r="A225" s="0" t="str">
        <f aca="false">IF('Deal Tracker'!C225="","",COUNTIF('Deal Tracker'!$C$2:C225,'Deal Tracker'!C225))</f>
        <v/>
      </c>
      <c r="B225" s="0" t="str">
        <f aca="false">IF(A225="","",'Deal Tracker'!C225&amp;"#"&amp;A225)</f>
        <v/>
      </c>
      <c r="C225" s="0" t="str">
        <f aca="false">IF('Deal Tracker'!B225="","",'Deal Tracker'!B225&amp;IF('Deal Tracker'!D225=""," — size TBD"," — $"&amp;TEXT('Deal Tracker'!D225,"#,##0")&amp;"M"))</f>
        <v/>
      </c>
    </row>
    <row r="226" customFormat="false" ht="15" hidden="false" customHeight="false" outlineLevel="0" collapsed="false">
      <c r="A226" s="0" t="str">
        <f aca="false">IF('Deal Tracker'!C226="","",COUNTIF('Deal Tracker'!$C$2:C226,'Deal Tracker'!C226))</f>
        <v/>
      </c>
      <c r="B226" s="0" t="str">
        <f aca="false">IF(A226="","",'Deal Tracker'!C226&amp;"#"&amp;A226)</f>
        <v/>
      </c>
      <c r="C226" s="0" t="str">
        <f aca="false">IF('Deal Tracker'!B226="","",'Deal Tracker'!B226&amp;IF('Deal Tracker'!D226=""," — size TBD"," — $"&amp;TEXT('Deal Tracker'!D226,"#,##0")&amp;"M"))</f>
        <v/>
      </c>
    </row>
    <row r="227" customFormat="false" ht="15" hidden="false" customHeight="false" outlineLevel="0" collapsed="false">
      <c r="A227" s="0" t="str">
        <f aca="false">IF('Deal Tracker'!C227="","",COUNTIF('Deal Tracker'!$C$2:C227,'Deal Tracker'!C227))</f>
        <v/>
      </c>
      <c r="B227" s="0" t="str">
        <f aca="false">IF(A227="","",'Deal Tracker'!C227&amp;"#"&amp;A227)</f>
        <v/>
      </c>
      <c r="C227" s="0" t="str">
        <f aca="false">IF('Deal Tracker'!B227="","",'Deal Tracker'!B227&amp;IF('Deal Tracker'!D227=""," — size TBD"," — $"&amp;TEXT('Deal Tracker'!D227,"#,##0")&amp;"M"))</f>
        <v/>
      </c>
    </row>
    <row r="228" customFormat="false" ht="15" hidden="false" customHeight="false" outlineLevel="0" collapsed="false">
      <c r="A228" s="0" t="str">
        <f aca="false">IF('Deal Tracker'!C228="","",COUNTIF('Deal Tracker'!$C$2:C228,'Deal Tracker'!C228))</f>
        <v/>
      </c>
      <c r="B228" s="0" t="str">
        <f aca="false">IF(A228="","",'Deal Tracker'!C228&amp;"#"&amp;A228)</f>
        <v/>
      </c>
      <c r="C228" s="0" t="str">
        <f aca="false">IF('Deal Tracker'!B228="","",'Deal Tracker'!B228&amp;IF('Deal Tracker'!D228=""," — size TBD"," — $"&amp;TEXT('Deal Tracker'!D228,"#,##0")&amp;"M"))</f>
        <v/>
      </c>
    </row>
    <row r="229" customFormat="false" ht="15" hidden="false" customHeight="false" outlineLevel="0" collapsed="false">
      <c r="A229" s="0" t="str">
        <f aca="false">IF('Deal Tracker'!C229="","",COUNTIF('Deal Tracker'!$C$2:C229,'Deal Tracker'!C229))</f>
        <v/>
      </c>
      <c r="B229" s="0" t="str">
        <f aca="false">IF(A229="","",'Deal Tracker'!C229&amp;"#"&amp;A229)</f>
        <v/>
      </c>
      <c r="C229" s="0" t="str">
        <f aca="false">IF('Deal Tracker'!B229="","",'Deal Tracker'!B229&amp;IF('Deal Tracker'!D229=""," — size TBD"," — $"&amp;TEXT('Deal Tracker'!D229,"#,##0")&amp;"M"))</f>
        <v/>
      </c>
    </row>
    <row r="230" customFormat="false" ht="15" hidden="false" customHeight="false" outlineLevel="0" collapsed="false">
      <c r="A230" s="0" t="str">
        <f aca="false">IF('Deal Tracker'!C230="","",COUNTIF('Deal Tracker'!$C$2:C230,'Deal Tracker'!C230))</f>
        <v/>
      </c>
      <c r="B230" s="0" t="str">
        <f aca="false">IF(A230="","",'Deal Tracker'!C230&amp;"#"&amp;A230)</f>
        <v/>
      </c>
      <c r="C230" s="0" t="str">
        <f aca="false">IF('Deal Tracker'!B230="","",'Deal Tracker'!B230&amp;IF('Deal Tracker'!D230=""," — size TBD"," — $"&amp;TEXT('Deal Tracker'!D230,"#,##0")&amp;"M"))</f>
        <v/>
      </c>
    </row>
    <row r="231" customFormat="false" ht="15" hidden="false" customHeight="false" outlineLevel="0" collapsed="false">
      <c r="A231" s="0" t="str">
        <f aca="false">IF('Deal Tracker'!C231="","",COUNTIF('Deal Tracker'!$C$2:C231,'Deal Tracker'!C231))</f>
        <v/>
      </c>
      <c r="B231" s="0" t="str">
        <f aca="false">IF(A231="","",'Deal Tracker'!C231&amp;"#"&amp;A231)</f>
        <v/>
      </c>
      <c r="C231" s="0" t="str">
        <f aca="false">IF('Deal Tracker'!B231="","",'Deal Tracker'!B231&amp;IF('Deal Tracker'!D231=""," — size TBD"," — $"&amp;TEXT('Deal Tracker'!D231,"#,##0")&amp;"M"))</f>
        <v/>
      </c>
    </row>
    <row r="232" customFormat="false" ht="15" hidden="false" customHeight="false" outlineLevel="0" collapsed="false">
      <c r="A232" s="0" t="str">
        <f aca="false">IF('Deal Tracker'!C232="","",COUNTIF('Deal Tracker'!$C$2:C232,'Deal Tracker'!C232))</f>
        <v/>
      </c>
      <c r="B232" s="0" t="str">
        <f aca="false">IF(A232="","",'Deal Tracker'!C232&amp;"#"&amp;A232)</f>
        <v/>
      </c>
      <c r="C232" s="0" t="str">
        <f aca="false">IF('Deal Tracker'!B232="","",'Deal Tracker'!B232&amp;IF('Deal Tracker'!D232=""," — size TBD"," — $"&amp;TEXT('Deal Tracker'!D232,"#,##0")&amp;"M"))</f>
        <v/>
      </c>
    </row>
    <row r="233" customFormat="false" ht="15" hidden="false" customHeight="false" outlineLevel="0" collapsed="false">
      <c r="A233" s="0" t="str">
        <f aca="false">IF('Deal Tracker'!C233="","",COUNTIF('Deal Tracker'!$C$2:C233,'Deal Tracker'!C233))</f>
        <v/>
      </c>
      <c r="B233" s="0" t="str">
        <f aca="false">IF(A233="","",'Deal Tracker'!C233&amp;"#"&amp;A233)</f>
        <v/>
      </c>
      <c r="C233" s="0" t="str">
        <f aca="false">IF('Deal Tracker'!B233="","",'Deal Tracker'!B233&amp;IF('Deal Tracker'!D233=""," — size TBD"," — $"&amp;TEXT('Deal Tracker'!D233,"#,##0")&amp;"M"))</f>
        <v/>
      </c>
    </row>
    <row r="234" customFormat="false" ht="15" hidden="false" customHeight="false" outlineLevel="0" collapsed="false">
      <c r="A234" s="0" t="str">
        <f aca="false">IF('Deal Tracker'!C234="","",COUNTIF('Deal Tracker'!$C$2:C234,'Deal Tracker'!C234))</f>
        <v/>
      </c>
      <c r="B234" s="0" t="str">
        <f aca="false">IF(A234="","",'Deal Tracker'!C234&amp;"#"&amp;A234)</f>
        <v/>
      </c>
      <c r="C234" s="0" t="str">
        <f aca="false">IF('Deal Tracker'!B234="","",'Deal Tracker'!B234&amp;IF('Deal Tracker'!D234=""," — size TBD"," — $"&amp;TEXT('Deal Tracker'!D234,"#,##0")&amp;"M"))</f>
        <v/>
      </c>
    </row>
    <row r="235" customFormat="false" ht="15" hidden="false" customHeight="false" outlineLevel="0" collapsed="false">
      <c r="A235" s="0" t="str">
        <f aca="false">IF('Deal Tracker'!C235="","",COUNTIF('Deal Tracker'!$C$2:C235,'Deal Tracker'!C235))</f>
        <v/>
      </c>
      <c r="B235" s="0" t="str">
        <f aca="false">IF(A235="","",'Deal Tracker'!C235&amp;"#"&amp;A235)</f>
        <v/>
      </c>
      <c r="C235" s="0" t="str">
        <f aca="false">IF('Deal Tracker'!B235="","",'Deal Tracker'!B235&amp;IF('Deal Tracker'!D235=""," — size TBD"," — $"&amp;TEXT('Deal Tracker'!D235,"#,##0")&amp;"M"))</f>
        <v/>
      </c>
    </row>
    <row r="236" customFormat="false" ht="15" hidden="false" customHeight="false" outlineLevel="0" collapsed="false">
      <c r="A236" s="0" t="str">
        <f aca="false">IF('Deal Tracker'!C236="","",COUNTIF('Deal Tracker'!$C$2:C236,'Deal Tracker'!C236))</f>
        <v/>
      </c>
      <c r="B236" s="0" t="str">
        <f aca="false">IF(A236="","",'Deal Tracker'!C236&amp;"#"&amp;A236)</f>
        <v/>
      </c>
      <c r="C236" s="0" t="str">
        <f aca="false">IF('Deal Tracker'!B236="","",'Deal Tracker'!B236&amp;IF('Deal Tracker'!D236=""," — size TBD"," — $"&amp;TEXT('Deal Tracker'!D236,"#,##0")&amp;"M"))</f>
        <v/>
      </c>
    </row>
    <row r="237" customFormat="false" ht="15" hidden="false" customHeight="false" outlineLevel="0" collapsed="false">
      <c r="A237" s="0" t="str">
        <f aca="false">IF('Deal Tracker'!C237="","",COUNTIF('Deal Tracker'!$C$2:C237,'Deal Tracker'!C237))</f>
        <v/>
      </c>
      <c r="B237" s="0" t="str">
        <f aca="false">IF(A237="","",'Deal Tracker'!C237&amp;"#"&amp;A237)</f>
        <v/>
      </c>
      <c r="C237" s="0" t="str">
        <f aca="false">IF('Deal Tracker'!B237="","",'Deal Tracker'!B237&amp;IF('Deal Tracker'!D237=""," — size TBD"," — $"&amp;TEXT('Deal Tracker'!D237,"#,##0")&amp;"M"))</f>
        <v/>
      </c>
    </row>
    <row r="238" customFormat="false" ht="15" hidden="false" customHeight="false" outlineLevel="0" collapsed="false">
      <c r="A238" s="0" t="str">
        <f aca="false">IF('Deal Tracker'!C238="","",COUNTIF('Deal Tracker'!$C$2:C238,'Deal Tracker'!C238))</f>
        <v/>
      </c>
      <c r="B238" s="0" t="str">
        <f aca="false">IF(A238="","",'Deal Tracker'!C238&amp;"#"&amp;A238)</f>
        <v/>
      </c>
      <c r="C238" s="0" t="str">
        <f aca="false">IF('Deal Tracker'!B238="","",'Deal Tracker'!B238&amp;IF('Deal Tracker'!D238=""," — size TBD"," — $"&amp;TEXT('Deal Tracker'!D238,"#,##0")&amp;"M"))</f>
        <v/>
      </c>
    </row>
    <row r="239" customFormat="false" ht="15" hidden="false" customHeight="false" outlineLevel="0" collapsed="false">
      <c r="A239" s="0" t="str">
        <f aca="false">IF('Deal Tracker'!C239="","",COUNTIF('Deal Tracker'!$C$2:C239,'Deal Tracker'!C239))</f>
        <v/>
      </c>
      <c r="B239" s="0" t="str">
        <f aca="false">IF(A239="","",'Deal Tracker'!C239&amp;"#"&amp;A239)</f>
        <v/>
      </c>
      <c r="C239" s="0" t="str">
        <f aca="false">IF('Deal Tracker'!B239="","",'Deal Tracker'!B239&amp;IF('Deal Tracker'!D239=""," — size TBD"," — $"&amp;TEXT('Deal Tracker'!D239,"#,##0")&amp;"M"))</f>
        <v/>
      </c>
    </row>
    <row r="240" customFormat="false" ht="15" hidden="false" customHeight="false" outlineLevel="0" collapsed="false">
      <c r="A240" s="0" t="str">
        <f aca="false">IF('Deal Tracker'!C240="","",COUNTIF('Deal Tracker'!$C$2:C240,'Deal Tracker'!C240))</f>
        <v/>
      </c>
      <c r="B240" s="0" t="str">
        <f aca="false">IF(A240="","",'Deal Tracker'!C240&amp;"#"&amp;A240)</f>
        <v/>
      </c>
      <c r="C240" s="0" t="str">
        <f aca="false">IF('Deal Tracker'!B240="","",'Deal Tracker'!B240&amp;IF('Deal Tracker'!D240=""," — size TBD"," — $"&amp;TEXT('Deal Tracker'!D240,"#,##0")&amp;"M"))</f>
        <v/>
      </c>
    </row>
    <row r="241" customFormat="false" ht="15" hidden="false" customHeight="false" outlineLevel="0" collapsed="false">
      <c r="A241" s="0" t="str">
        <f aca="false">IF('Deal Tracker'!C241="","",COUNTIF('Deal Tracker'!$C$2:C241,'Deal Tracker'!C241))</f>
        <v/>
      </c>
      <c r="B241" s="0" t="str">
        <f aca="false">IF(A241="","",'Deal Tracker'!C241&amp;"#"&amp;A241)</f>
        <v/>
      </c>
      <c r="C241" s="0" t="str">
        <f aca="false">IF('Deal Tracker'!B241="","",'Deal Tracker'!B241&amp;IF('Deal Tracker'!D241=""," — size TBD"," — $"&amp;TEXT('Deal Tracker'!D241,"#,##0")&amp;"M"))</f>
        <v/>
      </c>
    </row>
    <row r="242" customFormat="false" ht="15" hidden="false" customHeight="false" outlineLevel="0" collapsed="false">
      <c r="A242" s="0" t="str">
        <f aca="false">IF('Deal Tracker'!C242="","",COUNTIF('Deal Tracker'!$C$2:C242,'Deal Tracker'!C242))</f>
        <v/>
      </c>
      <c r="B242" s="0" t="str">
        <f aca="false">IF(A242="","",'Deal Tracker'!C242&amp;"#"&amp;A242)</f>
        <v/>
      </c>
      <c r="C242" s="0" t="str">
        <f aca="false">IF('Deal Tracker'!B242="","",'Deal Tracker'!B242&amp;IF('Deal Tracker'!D242=""," — size TBD"," — $"&amp;TEXT('Deal Tracker'!D242,"#,##0")&amp;"M"))</f>
        <v/>
      </c>
    </row>
    <row r="243" customFormat="false" ht="15" hidden="false" customHeight="false" outlineLevel="0" collapsed="false">
      <c r="A243" s="0" t="str">
        <f aca="false">IF('Deal Tracker'!C243="","",COUNTIF('Deal Tracker'!$C$2:C243,'Deal Tracker'!C243))</f>
        <v/>
      </c>
      <c r="B243" s="0" t="str">
        <f aca="false">IF(A243="","",'Deal Tracker'!C243&amp;"#"&amp;A243)</f>
        <v/>
      </c>
      <c r="C243" s="0" t="str">
        <f aca="false">IF('Deal Tracker'!B243="","",'Deal Tracker'!B243&amp;IF('Deal Tracker'!D243=""," — size TBD"," — $"&amp;TEXT('Deal Tracker'!D243,"#,##0")&amp;"M"))</f>
        <v/>
      </c>
    </row>
    <row r="244" customFormat="false" ht="15" hidden="false" customHeight="false" outlineLevel="0" collapsed="false">
      <c r="A244" s="0" t="str">
        <f aca="false">IF('Deal Tracker'!C244="","",COUNTIF('Deal Tracker'!$C$2:C244,'Deal Tracker'!C244))</f>
        <v/>
      </c>
      <c r="B244" s="0" t="str">
        <f aca="false">IF(A244="","",'Deal Tracker'!C244&amp;"#"&amp;A244)</f>
        <v/>
      </c>
      <c r="C244" s="0" t="str">
        <f aca="false">IF('Deal Tracker'!B244="","",'Deal Tracker'!B244&amp;IF('Deal Tracker'!D244=""," — size TBD"," — $"&amp;TEXT('Deal Tracker'!D244,"#,##0")&amp;"M"))</f>
        <v/>
      </c>
    </row>
    <row r="245" customFormat="false" ht="15" hidden="false" customHeight="false" outlineLevel="0" collapsed="false">
      <c r="A245" s="0" t="str">
        <f aca="false">IF('Deal Tracker'!C245="","",COUNTIF('Deal Tracker'!$C$2:C245,'Deal Tracker'!C245))</f>
        <v/>
      </c>
      <c r="B245" s="0" t="str">
        <f aca="false">IF(A245="","",'Deal Tracker'!C245&amp;"#"&amp;A245)</f>
        <v/>
      </c>
      <c r="C245" s="0" t="str">
        <f aca="false">IF('Deal Tracker'!B245="","",'Deal Tracker'!B245&amp;IF('Deal Tracker'!D245=""," — size TBD"," — $"&amp;TEXT('Deal Tracker'!D245,"#,##0")&amp;"M"))</f>
        <v/>
      </c>
    </row>
    <row r="246" customFormat="false" ht="15" hidden="false" customHeight="false" outlineLevel="0" collapsed="false">
      <c r="A246" s="0" t="str">
        <f aca="false">IF('Deal Tracker'!C246="","",COUNTIF('Deal Tracker'!$C$2:C246,'Deal Tracker'!C246))</f>
        <v/>
      </c>
      <c r="B246" s="0" t="str">
        <f aca="false">IF(A246="","",'Deal Tracker'!C246&amp;"#"&amp;A246)</f>
        <v/>
      </c>
      <c r="C246" s="0" t="str">
        <f aca="false">IF('Deal Tracker'!B246="","",'Deal Tracker'!B246&amp;IF('Deal Tracker'!D246=""," — size TBD"," — $"&amp;TEXT('Deal Tracker'!D246,"#,##0")&amp;"M"))</f>
        <v/>
      </c>
    </row>
    <row r="247" customFormat="false" ht="15" hidden="false" customHeight="false" outlineLevel="0" collapsed="false">
      <c r="A247" s="0" t="str">
        <f aca="false">IF('Deal Tracker'!C247="","",COUNTIF('Deal Tracker'!$C$2:C247,'Deal Tracker'!C247))</f>
        <v/>
      </c>
      <c r="B247" s="0" t="str">
        <f aca="false">IF(A247="","",'Deal Tracker'!C247&amp;"#"&amp;A247)</f>
        <v/>
      </c>
      <c r="C247" s="0" t="str">
        <f aca="false">IF('Deal Tracker'!B247="","",'Deal Tracker'!B247&amp;IF('Deal Tracker'!D247=""," — size TBD"," — $"&amp;TEXT('Deal Tracker'!D247,"#,##0")&amp;"M"))</f>
        <v/>
      </c>
    </row>
    <row r="248" customFormat="false" ht="15" hidden="false" customHeight="false" outlineLevel="0" collapsed="false">
      <c r="A248" s="0" t="str">
        <f aca="false">IF('Deal Tracker'!C248="","",COUNTIF('Deal Tracker'!$C$2:C248,'Deal Tracker'!C248))</f>
        <v/>
      </c>
      <c r="B248" s="0" t="str">
        <f aca="false">IF(A248="","",'Deal Tracker'!C248&amp;"#"&amp;A248)</f>
        <v/>
      </c>
      <c r="C248" s="0" t="str">
        <f aca="false">IF('Deal Tracker'!B248="","",'Deal Tracker'!B248&amp;IF('Deal Tracker'!D248=""," — size TBD"," — $"&amp;TEXT('Deal Tracker'!D248,"#,##0")&amp;"M"))</f>
        <v/>
      </c>
    </row>
    <row r="249" customFormat="false" ht="15" hidden="false" customHeight="false" outlineLevel="0" collapsed="false">
      <c r="A249" s="0" t="str">
        <f aca="false">IF('Deal Tracker'!C249="","",COUNTIF('Deal Tracker'!$C$2:C249,'Deal Tracker'!C249))</f>
        <v/>
      </c>
      <c r="B249" s="0" t="str">
        <f aca="false">IF(A249="","",'Deal Tracker'!C249&amp;"#"&amp;A249)</f>
        <v/>
      </c>
      <c r="C249" s="0" t="str">
        <f aca="false">IF('Deal Tracker'!B249="","",'Deal Tracker'!B249&amp;IF('Deal Tracker'!D249=""," — size TBD"," — $"&amp;TEXT('Deal Tracker'!D249,"#,##0")&amp;"M"))</f>
        <v/>
      </c>
    </row>
    <row r="250" customFormat="false" ht="15" hidden="false" customHeight="false" outlineLevel="0" collapsed="false">
      <c r="A250" s="0" t="str">
        <f aca="false">IF('Deal Tracker'!C250="","",COUNTIF('Deal Tracker'!$C$2:C250,'Deal Tracker'!C250))</f>
        <v/>
      </c>
      <c r="B250" s="0" t="str">
        <f aca="false">IF(A250="","",'Deal Tracker'!C250&amp;"#"&amp;A250)</f>
        <v/>
      </c>
      <c r="C250" s="0" t="str">
        <f aca="false">IF('Deal Tracker'!B250="","",'Deal Tracker'!B250&amp;IF('Deal Tracker'!D250=""," — size TBD"," — $"&amp;TEXT('Deal Tracker'!D250,"#,##0")&amp;"M"))</f>
        <v/>
      </c>
    </row>
    <row r="251" customFormat="false" ht="15" hidden="false" customHeight="false" outlineLevel="0" collapsed="false">
      <c r="A251" s="0" t="str">
        <f aca="false">IF('Deal Tracker'!C251="","",COUNTIF('Deal Tracker'!$C$2:C251,'Deal Tracker'!C251))</f>
        <v/>
      </c>
      <c r="B251" s="0" t="str">
        <f aca="false">IF(A251="","",'Deal Tracker'!C251&amp;"#"&amp;A251)</f>
        <v/>
      </c>
      <c r="C251" s="0" t="str">
        <f aca="false">IF('Deal Tracker'!B251="","",'Deal Tracker'!B251&amp;IF('Deal Tracker'!D251=""," — size TBD"," — $"&amp;TEXT('Deal Tracker'!D251,"#,##0")&amp;"M"))</f>
        <v/>
      </c>
    </row>
    <row r="252" customFormat="false" ht="15" hidden="false" customHeight="false" outlineLevel="0" collapsed="false">
      <c r="A252" s="0" t="str">
        <f aca="false">IF('Deal Tracker'!C252="","",COUNTIF('Deal Tracker'!$C$2:C252,'Deal Tracker'!C252))</f>
        <v/>
      </c>
      <c r="B252" s="0" t="str">
        <f aca="false">IF(A252="","",'Deal Tracker'!C252&amp;"#"&amp;A252)</f>
        <v/>
      </c>
      <c r="C252" s="0" t="str">
        <f aca="false">IF('Deal Tracker'!B252="","",'Deal Tracker'!B252&amp;IF('Deal Tracker'!D252=""," — size TBD"," — $"&amp;TEXT('Deal Tracker'!D252,"#,##0")&amp;"M"))</f>
        <v/>
      </c>
    </row>
    <row r="253" customFormat="false" ht="15" hidden="false" customHeight="false" outlineLevel="0" collapsed="false">
      <c r="A253" s="0" t="str">
        <f aca="false">IF('Deal Tracker'!C253="","",COUNTIF('Deal Tracker'!$C$2:C253,'Deal Tracker'!C253))</f>
        <v/>
      </c>
      <c r="B253" s="0" t="str">
        <f aca="false">IF(A253="","",'Deal Tracker'!C253&amp;"#"&amp;A253)</f>
        <v/>
      </c>
      <c r="C253" s="0" t="str">
        <f aca="false">IF('Deal Tracker'!B253="","",'Deal Tracker'!B253&amp;IF('Deal Tracker'!D253=""," — size TBD"," — $"&amp;TEXT('Deal Tracker'!D253,"#,##0")&amp;"M"))</f>
        <v/>
      </c>
    </row>
    <row r="254" customFormat="false" ht="15" hidden="false" customHeight="false" outlineLevel="0" collapsed="false">
      <c r="A254" s="0" t="str">
        <f aca="false">IF('Deal Tracker'!C254="","",COUNTIF('Deal Tracker'!$C$2:C254,'Deal Tracker'!C254))</f>
        <v/>
      </c>
      <c r="B254" s="0" t="str">
        <f aca="false">IF(A254="","",'Deal Tracker'!C254&amp;"#"&amp;A254)</f>
        <v/>
      </c>
      <c r="C254" s="0" t="str">
        <f aca="false">IF('Deal Tracker'!B254="","",'Deal Tracker'!B254&amp;IF('Deal Tracker'!D254=""," — size TBD"," — $"&amp;TEXT('Deal Tracker'!D254,"#,##0")&amp;"M"))</f>
        <v/>
      </c>
    </row>
    <row r="255" customFormat="false" ht="15" hidden="false" customHeight="false" outlineLevel="0" collapsed="false">
      <c r="A255" s="0" t="str">
        <f aca="false">IF('Deal Tracker'!C255="","",COUNTIF('Deal Tracker'!$C$2:C255,'Deal Tracker'!C255))</f>
        <v/>
      </c>
      <c r="B255" s="0" t="str">
        <f aca="false">IF(A255="","",'Deal Tracker'!C255&amp;"#"&amp;A255)</f>
        <v/>
      </c>
      <c r="C255" s="0" t="str">
        <f aca="false">IF('Deal Tracker'!B255="","",'Deal Tracker'!B255&amp;IF('Deal Tracker'!D255=""," — size TBD"," — $"&amp;TEXT('Deal Tracker'!D255,"#,##0")&amp;"M"))</f>
        <v/>
      </c>
    </row>
    <row r="256" customFormat="false" ht="15" hidden="false" customHeight="false" outlineLevel="0" collapsed="false">
      <c r="A256" s="0" t="str">
        <f aca="false">IF('Deal Tracker'!C256="","",COUNTIF('Deal Tracker'!$C$2:C256,'Deal Tracker'!C256))</f>
        <v/>
      </c>
      <c r="B256" s="0" t="str">
        <f aca="false">IF(A256="","",'Deal Tracker'!C256&amp;"#"&amp;A256)</f>
        <v/>
      </c>
      <c r="C256" s="0" t="str">
        <f aca="false">IF('Deal Tracker'!B256="","",'Deal Tracker'!B256&amp;IF('Deal Tracker'!D256=""," — size TBD"," — $"&amp;TEXT('Deal Tracker'!D256,"#,##0")&amp;"M"))</f>
        <v/>
      </c>
    </row>
    <row r="257" customFormat="false" ht="15" hidden="false" customHeight="false" outlineLevel="0" collapsed="false">
      <c r="A257" s="0" t="str">
        <f aca="false">IF('Deal Tracker'!C257="","",COUNTIF('Deal Tracker'!$C$2:C257,'Deal Tracker'!C257))</f>
        <v/>
      </c>
      <c r="B257" s="0" t="str">
        <f aca="false">IF(A257="","",'Deal Tracker'!C257&amp;"#"&amp;A257)</f>
        <v/>
      </c>
      <c r="C257" s="0" t="str">
        <f aca="false">IF('Deal Tracker'!B257="","",'Deal Tracker'!B257&amp;IF('Deal Tracker'!D257=""," — size TBD"," — $"&amp;TEXT('Deal Tracker'!D257,"#,##0")&amp;"M"))</f>
        <v/>
      </c>
    </row>
    <row r="258" customFormat="false" ht="15" hidden="false" customHeight="false" outlineLevel="0" collapsed="false">
      <c r="A258" s="0" t="str">
        <f aca="false">IF('Deal Tracker'!C258="","",COUNTIF('Deal Tracker'!$C$2:C258,'Deal Tracker'!C258))</f>
        <v/>
      </c>
      <c r="B258" s="0" t="str">
        <f aca="false">IF(A258="","",'Deal Tracker'!C258&amp;"#"&amp;A258)</f>
        <v/>
      </c>
      <c r="C258" s="0" t="str">
        <f aca="false">IF('Deal Tracker'!B258="","",'Deal Tracker'!B258&amp;IF('Deal Tracker'!D258=""," — size TBD"," — $"&amp;TEXT('Deal Tracker'!D258,"#,##0")&amp;"M"))</f>
        <v/>
      </c>
    </row>
    <row r="259" customFormat="false" ht="15" hidden="false" customHeight="false" outlineLevel="0" collapsed="false">
      <c r="A259" s="0" t="str">
        <f aca="false">IF('Deal Tracker'!C259="","",COUNTIF('Deal Tracker'!$C$2:C259,'Deal Tracker'!C259))</f>
        <v/>
      </c>
      <c r="B259" s="0" t="str">
        <f aca="false">IF(A259="","",'Deal Tracker'!C259&amp;"#"&amp;A259)</f>
        <v/>
      </c>
      <c r="C259" s="0" t="str">
        <f aca="false">IF('Deal Tracker'!B259="","",'Deal Tracker'!B259&amp;IF('Deal Tracker'!D259=""," — size TBD"," — $"&amp;TEXT('Deal Tracker'!D259,"#,##0")&amp;"M"))</f>
        <v/>
      </c>
    </row>
    <row r="260" customFormat="false" ht="15" hidden="false" customHeight="false" outlineLevel="0" collapsed="false">
      <c r="A260" s="0" t="str">
        <f aca="false">IF('Deal Tracker'!C260="","",COUNTIF('Deal Tracker'!$C$2:C260,'Deal Tracker'!C260))</f>
        <v/>
      </c>
      <c r="B260" s="0" t="str">
        <f aca="false">IF(A260="","",'Deal Tracker'!C260&amp;"#"&amp;A260)</f>
        <v/>
      </c>
      <c r="C260" s="0" t="str">
        <f aca="false">IF('Deal Tracker'!B260="","",'Deal Tracker'!B260&amp;IF('Deal Tracker'!D260=""," — size TBD"," — $"&amp;TEXT('Deal Tracker'!D260,"#,##0")&amp;"M"))</f>
        <v/>
      </c>
    </row>
    <row r="261" customFormat="false" ht="15" hidden="false" customHeight="false" outlineLevel="0" collapsed="false">
      <c r="A261" s="0" t="str">
        <f aca="false">IF('Deal Tracker'!C261="","",COUNTIF('Deal Tracker'!$C$2:C261,'Deal Tracker'!C261))</f>
        <v/>
      </c>
      <c r="B261" s="0" t="str">
        <f aca="false">IF(A261="","",'Deal Tracker'!C261&amp;"#"&amp;A261)</f>
        <v/>
      </c>
      <c r="C261" s="0" t="str">
        <f aca="false">IF('Deal Tracker'!B261="","",'Deal Tracker'!B261&amp;IF('Deal Tracker'!D261=""," — size TBD"," — $"&amp;TEXT('Deal Tracker'!D261,"#,##0")&amp;"M"))</f>
        <v/>
      </c>
    </row>
    <row r="262" customFormat="false" ht="15" hidden="false" customHeight="false" outlineLevel="0" collapsed="false">
      <c r="A262" s="0" t="str">
        <f aca="false">IF('Deal Tracker'!C262="","",COUNTIF('Deal Tracker'!$C$2:C262,'Deal Tracker'!C262))</f>
        <v/>
      </c>
      <c r="B262" s="0" t="str">
        <f aca="false">IF(A262="","",'Deal Tracker'!C262&amp;"#"&amp;A262)</f>
        <v/>
      </c>
      <c r="C262" s="0" t="str">
        <f aca="false">IF('Deal Tracker'!B262="","",'Deal Tracker'!B262&amp;IF('Deal Tracker'!D262=""," — size TBD"," — $"&amp;TEXT('Deal Tracker'!D262,"#,##0")&amp;"M"))</f>
        <v/>
      </c>
    </row>
    <row r="263" customFormat="false" ht="15" hidden="false" customHeight="false" outlineLevel="0" collapsed="false">
      <c r="A263" s="0" t="str">
        <f aca="false">IF('Deal Tracker'!C263="","",COUNTIF('Deal Tracker'!$C$2:C263,'Deal Tracker'!C263))</f>
        <v/>
      </c>
      <c r="B263" s="0" t="str">
        <f aca="false">IF(A263="","",'Deal Tracker'!C263&amp;"#"&amp;A263)</f>
        <v/>
      </c>
      <c r="C263" s="0" t="str">
        <f aca="false">IF('Deal Tracker'!B263="","",'Deal Tracker'!B263&amp;IF('Deal Tracker'!D263=""," — size TBD"," — $"&amp;TEXT('Deal Tracker'!D263,"#,##0")&amp;"M"))</f>
        <v/>
      </c>
    </row>
    <row r="264" customFormat="false" ht="15" hidden="false" customHeight="false" outlineLevel="0" collapsed="false">
      <c r="A264" s="0" t="str">
        <f aca="false">IF('Deal Tracker'!C264="","",COUNTIF('Deal Tracker'!$C$2:C264,'Deal Tracker'!C264))</f>
        <v/>
      </c>
      <c r="B264" s="0" t="str">
        <f aca="false">IF(A264="","",'Deal Tracker'!C264&amp;"#"&amp;A264)</f>
        <v/>
      </c>
      <c r="C264" s="0" t="str">
        <f aca="false">IF('Deal Tracker'!B264="","",'Deal Tracker'!B264&amp;IF('Deal Tracker'!D264=""," — size TBD"," — $"&amp;TEXT('Deal Tracker'!D264,"#,##0")&amp;"M"))</f>
        <v/>
      </c>
    </row>
    <row r="265" customFormat="false" ht="15" hidden="false" customHeight="false" outlineLevel="0" collapsed="false">
      <c r="A265" s="0" t="str">
        <f aca="false">IF('Deal Tracker'!C265="","",COUNTIF('Deal Tracker'!$C$2:C265,'Deal Tracker'!C265))</f>
        <v/>
      </c>
      <c r="B265" s="0" t="str">
        <f aca="false">IF(A265="","",'Deal Tracker'!C265&amp;"#"&amp;A265)</f>
        <v/>
      </c>
      <c r="C265" s="0" t="str">
        <f aca="false">IF('Deal Tracker'!B265="","",'Deal Tracker'!B265&amp;IF('Deal Tracker'!D265=""," — size TBD"," — $"&amp;TEXT('Deal Tracker'!D265,"#,##0")&amp;"M"))</f>
        <v/>
      </c>
    </row>
    <row r="266" customFormat="false" ht="15" hidden="false" customHeight="false" outlineLevel="0" collapsed="false">
      <c r="A266" s="0" t="str">
        <f aca="false">IF('Deal Tracker'!C266="","",COUNTIF('Deal Tracker'!$C$2:C266,'Deal Tracker'!C266))</f>
        <v/>
      </c>
      <c r="B266" s="0" t="str">
        <f aca="false">IF(A266="","",'Deal Tracker'!C266&amp;"#"&amp;A266)</f>
        <v/>
      </c>
      <c r="C266" s="0" t="str">
        <f aca="false">IF('Deal Tracker'!B266="","",'Deal Tracker'!B266&amp;IF('Deal Tracker'!D266=""," — size TBD"," — $"&amp;TEXT('Deal Tracker'!D266,"#,##0")&amp;"M"))</f>
        <v/>
      </c>
    </row>
    <row r="267" customFormat="false" ht="15" hidden="false" customHeight="false" outlineLevel="0" collapsed="false">
      <c r="A267" s="0" t="str">
        <f aca="false">IF('Deal Tracker'!C267="","",COUNTIF('Deal Tracker'!$C$2:C267,'Deal Tracker'!C267))</f>
        <v/>
      </c>
      <c r="B267" s="0" t="str">
        <f aca="false">IF(A267="","",'Deal Tracker'!C267&amp;"#"&amp;A267)</f>
        <v/>
      </c>
      <c r="C267" s="0" t="str">
        <f aca="false">IF('Deal Tracker'!B267="","",'Deal Tracker'!B267&amp;IF('Deal Tracker'!D267=""," — size TBD"," — $"&amp;TEXT('Deal Tracker'!D267,"#,##0")&amp;"M"))</f>
        <v/>
      </c>
    </row>
    <row r="268" customFormat="false" ht="15" hidden="false" customHeight="false" outlineLevel="0" collapsed="false">
      <c r="A268" s="0" t="str">
        <f aca="false">IF('Deal Tracker'!C268="","",COUNTIF('Deal Tracker'!$C$2:C268,'Deal Tracker'!C268))</f>
        <v/>
      </c>
      <c r="B268" s="0" t="str">
        <f aca="false">IF(A268="","",'Deal Tracker'!C268&amp;"#"&amp;A268)</f>
        <v/>
      </c>
      <c r="C268" s="0" t="str">
        <f aca="false">IF('Deal Tracker'!B268="","",'Deal Tracker'!B268&amp;IF('Deal Tracker'!D268=""," — size TBD"," — $"&amp;TEXT('Deal Tracker'!D268,"#,##0")&amp;"M"))</f>
        <v/>
      </c>
    </row>
    <row r="269" customFormat="false" ht="15" hidden="false" customHeight="false" outlineLevel="0" collapsed="false">
      <c r="A269" s="0" t="str">
        <f aca="false">IF('Deal Tracker'!C269="","",COUNTIF('Deal Tracker'!$C$2:C269,'Deal Tracker'!C269))</f>
        <v/>
      </c>
      <c r="B269" s="0" t="str">
        <f aca="false">IF(A269="","",'Deal Tracker'!C269&amp;"#"&amp;A269)</f>
        <v/>
      </c>
      <c r="C269" s="0" t="str">
        <f aca="false">IF('Deal Tracker'!B269="","",'Deal Tracker'!B269&amp;IF('Deal Tracker'!D269=""," — size TBD"," — $"&amp;TEXT('Deal Tracker'!D269,"#,##0")&amp;"M"))</f>
        <v/>
      </c>
    </row>
    <row r="270" customFormat="false" ht="15" hidden="false" customHeight="false" outlineLevel="0" collapsed="false">
      <c r="A270" s="0" t="str">
        <f aca="false">IF('Deal Tracker'!C270="","",COUNTIF('Deal Tracker'!$C$2:C270,'Deal Tracker'!C270))</f>
        <v/>
      </c>
      <c r="B270" s="0" t="str">
        <f aca="false">IF(A270="","",'Deal Tracker'!C270&amp;"#"&amp;A270)</f>
        <v/>
      </c>
      <c r="C270" s="0" t="str">
        <f aca="false">IF('Deal Tracker'!B270="","",'Deal Tracker'!B270&amp;IF('Deal Tracker'!D270=""," — size TBD"," — $"&amp;TEXT('Deal Tracker'!D270,"#,##0")&amp;"M"))</f>
        <v/>
      </c>
    </row>
    <row r="271" customFormat="false" ht="15" hidden="false" customHeight="false" outlineLevel="0" collapsed="false">
      <c r="A271" s="0" t="str">
        <f aca="false">IF('Deal Tracker'!C271="","",COUNTIF('Deal Tracker'!$C$2:C271,'Deal Tracker'!C271))</f>
        <v/>
      </c>
      <c r="B271" s="0" t="str">
        <f aca="false">IF(A271="","",'Deal Tracker'!C271&amp;"#"&amp;A271)</f>
        <v/>
      </c>
      <c r="C271" s="0" t="str">
        <f aca="false">IF('Deal Tracker'!B271="","",'Deal Tracker'!B271&amp;IF('Deal Tracker'!D271=""," — size TBD"," — $"&amp;TEXT('Deal Tracker'!D271,"#,##0")&amp;"M"))</f>
        <v/>
      </c>
    </row>
    <row r="272" customFormat="false" ht="15" hidden="false" customHeight="false" outlineLevel="0" collapsed="false">
      <c r="A272" s="0" t="str">
        <f aca="false">IF('Deal Tracker'!C272="","",COUNTIF('Deal Tracker'!$C$2:C272,'Deal Tracker'!C272))</f>
        <v/>
      </c>
      <c r="B272" s="0" t="str">
        <f aca="false">IF(A272="","",'Deal Tracker'!C272&amp;"#"&amp;A272)</f>
        <v/>
      </c>
      <c r="C272" s="0" t="str">
        <f aca="false">IF('Deal Tracker'!B272="","",'Deal Tracker'!B272&amp;IF('Deal Tracker'!D272=""," — size TBD"," — $"&amp;TEXT('Deal Tracker'!D272,"#,##0")&amp;"M"))</f>
        <v/>
      </c>
    </row>
    <row r="273" customFormat="false" ht="15" hidden="false" customHeight="false" outlineLevel="0" collapsed="false">
      <c r="A273" s="0" t="str">
        <f aca="false">IF('Deal Tracker'!C273="","",COUNTIF('Deal Tracker'!$C$2:C273,'Deal Tracker'!C273))</f>
        <v/>
      </c>
      <c r="B273" s="0" t="str">
        <f aca="false">IF(A273="","",'Deal Tracker'!C273&amp;"#"&amp;A273)</f>
        <v/>
      </c>
      <c r="C273" s="0" t="str">
        <f aca="false">IF('Deal Tracker'!B273="","",'Deal Tracker'!B273&amp;IF('Deal Tracker'!D273=""," — size TBD"," — $"&amp;TEXT('Deal Tracker'!D273,"#,##0")&amp;"M"))</f>
        <v/>
      </c>
    </row>
    <row r="274" customFormat="false" ht="15" hidden="false" customHeight="false" outlineLevel="0" collapsed="false">
      <c r="A274" s="0" t="str">
        <f aca="false">IF('Deal Tracker'!C274="","",COUNTIF('Deal Tracker'!$C$2:C274,'Deal Tracker'!C274))</f>
        <v/>
      </c>
      <c r="B274" s="0" t="str">
        <f aca="false">IF(A274="","",'Deal Tracker'!C274&amp;"#"&amp;A274)</f>
        <v/>
      </c>
      <c r="C274" s="0" t="str">
        <f aca="false">IF('Deal Tracker'!B274="","",'Deal Tracker'!B274&amp;IF('Deal Tracker'!D274=""," — size TBD"," — $"&amp;TEXT('Deal Tracker'!D274,"#,##0")&amp;"M"))</f>
        <v/>
      </c>
    </row>
    <row r="275" customFormat="false" ht="15" hidden="false" customHeight="false" outlineLevel="0" collapsed="false">
      <c r="A275" s="0" t="str">
        <f aca="false">IF('Deal Tracker'!C275="","",COUNTIF('Deal Tracker'!$C$2:C275,'Deal Tracker'!C275))</f>
        <v/>
      </c>
      <c r="B275" s="0" t="str">
        <f aca="false">IF(A275="","",'Deal Tracker'!C275&amp;"#"&amp;A275)</f>
        <v/>
      </c>
      <c r="C275" s="0" t="str">
        <f aca="false">IF('Deal Tracker'!B275="","",'Deal Tracker'!B275&amp;IF('Deal Tracker'!D275=""," — size TBD"," — $"&amp;TEXT('Deal Tracker'!D275,"#,##0")&amp;"M"))</f>
        <v/>
      </c>
    </row>
    <row r="276" customFormat="false" ht="15" hidden="false" customHeight="false" outlineLevel="0" collapsed="false">
      <c r="A276" s="0" t="str">
        <f aca="false">IF('Deal Tracker'!C276="","",COUNTIF('Deal Tracker'!$C$2:C276,'Deal Tracker'!C276))</f>
        <v/>
      </c>
      <c r="B276" s="0" t="str">
        <f aca="false">IF(A276="","",'Deal Tracker'!C276&amp;"#"&amp;A276)</f>
        <v/>
      </c>
      <c r="C276" s="0" t="str">
        <f aca="false">IF('Deal Tracker'!B276="","",'Deal Tracker'!B276&amp;IF('Deal Tracker'!D276=""," — size TBD"," — $"&amp;TEXT('Deal Tracker'!D276,"#,##0")&amp;"M"))</f>
        <v/>
      </c>
    </row>
    <row r="277" customFormat="false" ht="15" hidden="false" customHeight="false" outlineLevel="0" collapsed="false">
      <c r="A277" s="0" t="str">
        <f aca="false">IF('Deal Tracker'!C277="","",COUNTIF('Deal Tracker'!$C$2:C277,'Deal Tracker'!C277))</f>
        <v/>
      </c>
      <c r="B277" s="0" t="str">
        <f aca="false">IF(A277="","",'Deal Tracker'!C277&amp;"#"&amp;A277)</f>
        <v/>
      </c>
      <c r="C277" s="0" t="str">
        <f aca="false">IF('Deal Tracker'!B277="","",'Deal Tracker'!B277&amp;IF('Deal Tracker'!D277=""," — size TBD"," — $"&amp;TEXT('Deal Tracker'!D277,"#,##0")&amp;"M"))</f>
        <v/>
      </c>
    </row>
    <row r="278" customFormat="false" ht="15" hidden="false" customHeight="false" outlineLevel="0" collapsed="false">
      <c r="A278" s="0" t="str">
        <f aca="false">IF('Deal Tracker'!C278="","",COUNTIF('Deal Tracker'!$C$2:C278,'Deal Tracker'!C278))</f>
        <v/>
      </c>
      <c r="B278" s="0" t="str">
        <f aca="false">IF(A278="","",'Deal Tracker'!C278&amp;"#"&amp;A278)</f>
        <v/>
      </c>
      <c r="C278" s="0" t="str">
        <f aca="false">IF('Deal Tracker'!B278="","",'Deal Tracker'!B278&amp;IF('Deal Tracker'!D278=""," — size TBD"," — $"&amp;TEXT('Deal Tracker'!D278,"#,##0")&amp;"M"))</f>
        <v/>
      </c>
    </row>
    <row r="279" customFormat="false" ht="15" hidden="false" customHeight="false" outlineLevel="0" collapsed="false">
      <c r="A279" s="0" t="str">
        <f aca="false">IF('Deal Tracker'!C279="","",COUNTIF('Deal Tracker'!$C$2:C279,'Deal Tracker'!C279))</f>
        <v/>
      </c>
      <c r="B279" s="0" t="str">
        <f aca="false">IF(A279="","",'Deal Tracker'!C279&amp;"#"&amp;A279)</f>
        <v/>
      </c>
      <c r="C279" s="0" t="str">
        <f aca="false">IF('Deal Tracker'!B279="","",'Deal Tracker'!B279&amp;IF('Deal Tracker'!D279=""," — size TBD"," — $"&amp;TEXT('Deal Tracker'!D279,"#,##0")&amp;"M"))</f>
        <v/>
      </c>
    </row>
    <row r="280" customFormat="false" ht="15" hidden="false" customHeight="false" outlineLevel="0" collapsed="false">
      <c r="A280" s="0" t="str">
        <f aca="false">IF('Deal Tracker'!C280="","",COUNTIF('Deal Tracker'!$C$2:C280,'Deal Tracker'!C280))</f>
        <v/>
      </c>
      <c r="B280" s="0" t="str">
        <f aca="false">IF(A280="","",'Deal Tracker'!C280&amp;"#"&amp;A280)</f>
        <v/>
      </c>
      <c r="C280" s="0" t="str">
        <f aca="false">IF('Deal Tracker'!B280="","",'Deal Tracker'!B280&amp;IF('Deal Tracker'!D280=""," — size TBD"," — $"&amp;TEXT('Deal Tracker'!D280,"#,##0")&amp;"M"))</f>
        <v/>
      </c>
    </row>
    <row r="281" customFormat="false" ht="15" hidden="false" customHeight="false" outlineLevel="0" collapsed="false">
      <c r="A281" s="0" t="str">
        <f aca="false">IF('Deal Tracker'!C281="","",COUNTIF('Deal Tracker'!$C$2:C281,'Deal Tracker'!C281))</f>
        <v/>
      </c>
      <c r="B281" s="0" t="str">
        <f aca="false">IF(A281="","",'Deal Tracker'!C281&amp;"#"&amp;A281)</f>
        <v/>
      </c>
      <c r="C281" s="0" t="str">
        <f aca="false">IF('Deal Tracker'!B281="","",'Deal Tracker'!B281&amp;IF('Deal Tracker'!D281=""," — size TBD"," — $"&amp;TEXT('Deal Tracker'!D281,"#,##0")&amp;"M"))</f>
        <v/>
      </c>
    </row>
    <row r="282" customFormat="false" ht="15" hidden="false" customHeight="false" outlineLevel="0" collapsed="false">
      <c r="A282" s="0" t="str">
        <f aca="false">IF('Deal Tracker'!C282="","",COUNTIF('Deal Tracker'!$C$2:C282,'Deal Tracker'!C282))</f>
        <v/>
      </c>
      <c r="B282" s="0" t="str">
        <f aca="false">IF(A282="","",'Deal Tracker'!C282&amp;"#"&amp;A282)</f>
        <v/>
      </c>
      <c r="C282" s="0" t="str">
        <f aca="false">IF('Deal Tracker'!B282="","",'Deal Tracker'!B282&amp;IF('Deal Tracker'!D282=""," — size TBD"," — $"&amp;TEXT('Deal Tracker'!D282,"#,##0")&amp;"M"))</f>
        <v/>
      </c>
    </row>
    <row r="283" customFormat="false" ht="15" hidden="false" customHeight="false" outlineLevel="0" collapsed="false">
      <c r="A283" s="0" t="str">
        <f aca="false">IF('Deal Tracker'!C283="","",COUNTIF('Deal Tracker'!$C$2:C283,'Deal Tracker'!C283))</f>
        <v/>
      </c>
      <c r="B283" s="0" t="str">
        <f aca="false">IF(A283="","",'Deal Tracker'!C283&amp;"#"&amp;A283)</f>
        <v/>
      </c>
      <c r="C283" s="0" t="str">
        <f aca="false">IF('Deal Tracker'!B283="","",'Deal Tracker'!B283&amp;IF('Deal Tracker'!D283=""," — size TBD"," — $"&amp;TEXT('Deal Tracker'!D283,"#,##0")&amp;"M"))</f>
        <v/>
      </c>
    </row>
    <row r="284" customFormat="false" ht="15" hidden="false" customHeight="false" outlineLevel="0" collapsed="false">
      <c r="A284" s="0" t="str">
        <f aca="false">IF('Deal Tracker'!C284="","",COUNTIF('Deal Tracker'!$C$2:C284,'Deal Tracker'!C284))</f>
        <v/>
      </c>
      <c r="B284" s="0" t="str">
        <f aca="false">IF(A284="","",'Deal Tracker'!C284&amp;"#"&amp;A284)</f>
        <v/>
      </c>
      <c r="C284" s="0" t="str">
        <f aca="false">IF('Deal Tracker'!B284="","",'Deal Tracker'!B284&amp;IF('Deal Tracker'!D284=""," — size TBD"," — $"&amp;TEXT('Deal Tracker'!D284,"#,##0")&amp;"M"))</f>
        <v/>
      </c>
    </row>
    <row r="285" customFormat="false" ht="15" hidden="false" customHeight="false" outlineLevel="0" collapsed="false">
      <c r="A285" s="0" t="str">
        <f aca="false">IF('Deal Tracker'!C285="","",COUNTIF('Deal Tracker'!$C$2:C285,'Deal Tracker'!C285))</f>
        <v/>
      </c>
      <c r="B285" s="0" t="str">
        <f aca="false">IF(A285="","",'Deal Tracker'!C285&amp;"#"&amp;A285)</f>
        <v/>
      </c>
      <c r="C285" s="0" t="str">
        <f aca="false">IF('Deal Tracker'!B285="","",'Deal Tracker'!B285&amp;IF('Deal Tracker'!D285=""," — size TBD"," — $"&amp;TEXT('Deal Tracker'!D285,"#,##0")&amp;"M"))</f>
        <v/>
      </c>
    </row>
    <row r="286" customFormat="false" ht="15" hidden="false" customHeight="false" outlineLevel="0" collapsed="false">
      <c r="A286" s="0" t="str">
        <f aca="false">IF('Deal Tracker'!C286="","",COUNTIF('Deal Tracker'!$C$2:C286,'Deal Tracker'!C286))</f>
        <v/>
      </c>
      <c r="B286" s="0" t="str">
        <f aca="false">IF(A286="","",'Deal Tracker'!C286&amp;"#"&amp;A286)</f>
        <v/>
      </c>
      <c r="C286" s="0" t="str">
        <f aca="false">IF('Deal Tracker'!B286="","",'Deal Tracker'!B286&amp;IF('Deal Tracker'!D286=""," — size TBD"," — $"&amp;TEXT('Deal Tracker'!D286,"#,##0")&amp;"M"))</f>
        <v/>
      </c>
    </row>
    <row r="287" customFormat="false" ht="15" hidden="false" customHeight="false" outlineLevel="0" collapsed="false">
      <c r="A287" s="0" t="str">
        <f aca="false">IF('Deal Tracker'!C287="","",COUNTIF('Deal Tracker'!$C$2:C287,'Deal Tracker'!C287))</f>
        <v/>
      </c>
      <c r="B287" s="0" t="str">
        <f aca="false">IF(A287="","",'Deal Tracker'!C287&amp;"#"&amp;A287)</f>
        <v/>
      </c>
      <c r="C287" s="0" t="str">
        <f aca="false">IF('Deal Tracker'!B287="","",'Deal Tracker'!B287&amp;IF('Deal Tracker'!D287=""," — size TBD"," — $"&amp;TEXT('Deal Tracker'!D287,"#,##0")&amp;"M"))</f>
        <v/>
      </c>
    </row>
    <row r="288" customFormat="false" ht="15" hidden="false" customHeight="false" outlineLevel="0" collapsed="false">
      <c r="A288" s="0" t="str">
        <f aca="false">IF('Deal Tracker'!C288="","",COUNTIF('Deal Tracker'!$C$2:C288,'Deal Tracker'!C288))</f>
        <v/>
      </c>
      <c r="B288" s="0" t="str">
        <f aca="false">IF(A288="","",'Deal Tracker'!C288&amp;"#"&amp;A288)</f>
        <v/>
      </c>
      <c r="C288" s="0" t="str">
        <f aca="false">IF('Deal Tracker'!B288="","",'Deal Tracker'!B288&amp;IF('Deal Tracker'!D288=""," — size TBD"," — $"&amp;TEXT('Deal Tracker'!D288,"#,##0")&amp;"M"))</f>
        <v/>
      </c>
    </row>
    <row r="289" customFormat="false" ht="15" hidden="false" customHeight="false" outlineLevel="0" collapsed="false">
      <c r="A289" s="0" t="str">
        <f aca="false">IF('Deal Tracker'!C289="","",COUNTIF('Deal Tracker'!$C$2:C289,'Deal Tracker'!C289))</f>
        <v/>
      </c>
      <c r="B289" s="0" t="str">
        <f aca="false">IF(A289="","",'Deal Tracker'!C289&amp;"#"&amp;A289)</f>
        <v/>
      </c>
      <c r="C289" s="0" t="str">
        <f aca="false">IF('Deal Tracker'!B289="","",'Deal Tracker'!B289&amp;IF('Deal Tracker'!D289=""," — size TBD"," — $"&amp;TEXT('Deal Tracker'!D289,"#,##0")&amp;"M"))</f>
        <v/>
      </c>
    </row>
    <row r="290" customFormat="false" ht="15" hidden="false" customHeight="false" outlineLevel="0" collapsed="false">
      <c r="A290" s="0" t="str">
        <f aca="false">IF('Deal Tracker'!C290="","",COUNTIF('Deal Tracker'!$C$2:C290,'Deal Tracker'!C290))</f>
        <v/>
      </c>
      <c r="B290" s="0" t="str">
        <f aca="false">IF(A290="","",'Deal Tracker'!C290&amp;"#"&amp;A290)</f>
        <v/>
      </c>
      <c r="C290" s="0" t="str">
        <f aca="false">IF('Deal Tracker'!B290="","",'Deal Tracker'!B290&amp;IF('Deal Tracker'!D290=""," — size TBD"," — $"&amp;TEXT('Deal Tracker'!D290,"#,##0")&amp;"M"))</f>
        <v/>
      </c>
    </row>
    <row r="291" customFormat="false" ht="15" hidden="false" customHeight="false" outlineLevel="0" collapsed="false">
      <c r="A291" s="0" t="str">
        <f aca="false">IF('Deal Tracker'!C291="","",COUNTIF('Deal Tracker'!$C$2:C291,'Deal Tracker'!C291))</f>
        <v/>
      </c>
      <c r="B291" s="0" t="str">
        <f aca="false">IF(A291="","",'Deal Tracker'!C291&amp;"#"&amp;A291)</f>
        <v/>
      </c>
      <c r="C291" s="0" t="str">
        <f aca="false">IF('Deal Tracker'!B291="","",'Deal Tracker'!B291&amp;IF('Deal Tracker'!D291=""," — size TBD"," — $"&amp;TEXT('Deal Tracker'!D291,"#,##0")&amp;"M"))</f>
        <v/>
      </c>
    </row>
    <row r="292" customFormat="false" ht="15" hidden="false" customHeight="false" outlineLevel="0" collapsed="false">
      <c r="A292" s="0" t="str">
        <f aca="false">IF('Deal Tracker'!C292="","",COUNTIF('Deal Tracker'!$C$2:C292,'Deal Tracker'!C292))</f>
        <v/>
      </c>
      <c r="B292" s="0" t="str">
        <f aca="false">IF(A292="","",'Deal Tracker'!C292&amp;"#"&amp;A292)</f>
        <v/>
      </c>
      <c r="C292" s="0" t="str">
        <f aca="false">IF('Deal Tracker'!B292="","",'Deal Tracker'!B292&amp;IF('Deal Tracker'!D292=""," — size TBD"," — $"&amp;TEXT('Deal Tracker'!D292,"#,##0")&amp;"M"))</f>
        <v/>
      </c>
    </row>
    <row r="293" customFormat="false" ht="15" hidden="false" customHeight="false" outlineLevel="0" collapsed="false">
      <c r="A293" s="0" t="str">
        <f aca="false">IF('Deal Tracker'!C293="","",COUNTIF('Deal Tracker'!$C$2:C293,'Deal Tracker'!C293))</f>
        <v/>
      </c>
      <c r="B293" s="0" t="str">
        <f aca="false">IF(A293="","",'Deal Tracker'!C293&amp;"#"&amp;A293)</f>
        <v/>
      </c>
      <c r="C293" s="0" t="str">
        <f aca="false">IF('Deal Tracker'!B293="","",'Deal Tracker'!B293&amp;IF('Deal Tracker'!D293=""," — size TBD"," — $"&amp;TEXT('Deal Tracker'!D293,"#,##0")&amp;"M"))</f>
        <v/>
      </c>
    </row>
    <row r="294" customFormat="false" ht="15" hidden="false" customHeight="false" outlineLevel="0" collapsed="false">
      <c r="A294" s="0" t="str">
        <f aca="false">IF('Deal Tracker'!C294="","",COUNTIF('Deal Tracker'!$C$2:C294,'Deal Tracker'!C294))</f>
        <v/>
      </c>
      <c r="B294" s="0" t="str">
        <f aca="false">IF(A294="","",'Deal Tracker'!C294&amp;"#"&amp;A294)</f>
        <v/>
      </c>
      <c r="C294" s="0" t="str">
        <f aca="false">IF('Deal Tracker'!B294="","",'Deal Tracker'!B294&amp;IF('Deal Tracker'!D294=""," — size TBD"," — $"&amp;TEXT('Deal Tracker'!D294,"#,##0")&amp;"M"))</f>
        <v/>
      </c>
    </row>
    <row r="295" customFormat="false" ht="15" hidden="false" customHeight="false" outlineLevel="0" collapsed="false">
      <c r="A295" s="0" t="str">
        <f aca="false">IF('Deal Tracker'!C295="","",COUNTIF('Deal Tracker'!$C$2:C295,'Deal Tracker'!C295))</f>
        <v/>
      </c>
      <c r="B295" s="0" t="str">
        <f aca="false">IF(A295="","",'Deal Tracker'!C295&amp;"#"&amp;A295)</f>
        <v/>
      </c>
      <c r="C295" s="0" t="str">
        <f aca="false">IF('Deal Tracker'!B295="","",'Deal Tracker'!B295&amp;IF('Deal Tracker'!D295=""," — size TBD"," — $"&amp;TEXT('Deal Tracker'!D295,"#,##0")&amp;"M"))</f>
        <v/>
      </c>
    </row>
    <row r="296" customFormat="false" ht="15" hidden="false" customHeight="false" outlineLevel="0" collapsed="false">
      <c r="A296" s="0" t="str">
        <f aca="false">IF('Deal Tracker'!C296="","",COUNTIF('Deal Tracker'!$C$2:C296,'Deal Tracker'!C296))</f>
        <v/>
      </c>
      <c r="B296" s="0" t="str">
        <f aca="false">IF(A296="","",'Deal Tracker'!C296&amp;"#"&amp;A296)</f>
        <v/>
      </c>
      <c r="C296" s="0" t="str">
        <f aca="false">IF('Deal Tracker'!B296="","",'Deal Tracker'!B296&amp;IF('Deal Tracker'!D296=""," — size TBD"," — $"&amp;TEXT('Deal Tracker'!D296,"#,##0")&amp;"M"))</f>
        <v/>
      </c>
    </row>
    <row r="297" customFormat="false" ht="15" hidden="false" customHeight="false" outlineLevel="0" collapsed="false">
      <c r="A297" s="0" t="str">
        <f aca="false">IF('Deal Tracker'!C297="","",COUNTIF('Deal Tracker'!$C$2:C297,'Deal Tracker'!C297))</f>
        <v/>
      </c>
      <c r="B297" s="0" t="str">
        <f aca="false">IF(A297="","",'Deal Tracker'!C297&amp;"#"&amp;A297)</f>
        <v/>
      </c>
      <c r="C297" s="0" t="str">
        <f aca="false">IF('Deal Tracker'!B297="","",'Deal Tracker'!B297&amp;IF('Deal Tracker'!D297=""," — size TBD"," — $"&amp;TEXT('Deal Tracker'!D297,"#,##0")&amp;"M"))</f>
        <v/>
      </c>
    </row>
    <row r="298" customFormat="false" ht="15" hidden="false" customHeight="false" outlineLevel="0" collapsed="false">
      <c r="A298" s="0" t="str">
        <f aca="false">IF('Deal Tracker'!C298="","",COUNTIF('Deal Tracker'!$C$2:C298,'Deal Tracker'!C298))</f>
        <v/>
      </c>
      <c r="B298" s="0" t="str">
        <f aca="false">IF(A298="","",'Deal Tracker'!C298&amp;"#"&amp;A298)</f>
        <v/>
      </c>
      <c r="C298" s="0" t="str">
        <f aca="false">IF('Deal Tracker'!B298="","",'Deal Tracker'!B298&amp;IF('Deal Tracker'!D298=""," — size TBD"," — $"&amp;TEXT('Deal Tracker'!D298,"#,##0")&amp;"M"))</f>
        <v/>
      </c>
    </row>
    <row r="299" customFormat="false" ht="15" hidden="false" customHeight="false" outlineLevel="0" collapsed="false">
      <c r="A299" s="0" t="str">
        <f aca="false">IF('Deal Tracker'!C299="","",COUNTIF('Deal Tracker'!$C$2:C299,'Deal Tracker'!C299))</f>
        <v/>
      </c>
      <c r="B299" s="0" t="str">
        <f aca="false">IF(A299="","",'Deal Tracker'!C299&amp;"#"&amp;A299)</f>
        <v/>
      </c>
      <c r="C299" s="0" t="str">
        <f aca="false">IF('Deal Tracker'!B299="","",'Deal Tracker'!B299&amp;IF('Deal Tracker'!D299=""," — size TBD"," — $"&amp;TEXT('Deal Tracker'!D299,"#,##0")&amp;"M"))</f>
        <v/>
      </c>
    </row>
    <row r="300" customFormat="false" ht="15" hidden="false" customHeight="false" outlineLevel="0" collapsed="false">
      <c r="A300" s="0" t="str">
        <f aca="false">IF('Deal Tracker'!C300="","",COUNTIF('Deal Tracker'!$C$2:C300,'Deal Tracker'!C300))</f>
        <v/>
      </c>
      <c r="B300" s="0" t="str">
        <f aca="false">IF(A300="","",'Deal Tracker'!C300&amp;"#"&amp;A300)</f>
        <v/>
      </c>
      <c r="C300" s="0" t="str">
        <f aca="false">IF('Deal Tracker'!B300="","",'Deal Tracker'!B300&amp;IF('Deal Tracker'!D300=""," — size TBD"," — $"&amp;TEXT('Deal Tracker'!D300,"#,##0")&amp;"M"))</f>
        <v/>
      </c>
    </row>
    <row r="301" customFormat="false" ht="15" hidden="false" customHeight="false" outlineLevel="0" collapsed="false">
      <c r="A301" s="0" t="str">
        <f aca="false">IF('Deal Tracker'!C301="","",COUNTIF('Deal Tracker'!$C$2:C301,'Deal Tracker'!C301))</f>
        <v/>
      </c>
      <c r="B301" s="0" t="str">
        <f aca="false">IF(A301="","",'Deal Tracker'!C301&amp;"#"&amp;A301)</f>
        <v/>
      </c>
      <c r="C301" s="0" t="str">
        <f aca="false">IF('Deal Tracker'!B301="","",'Deal Tracker'!B301&amp;IF('Deal Tracker'!D301=""," — size TBD"," — $"&amp;TEXT('Deal Tracker'!D301,"#,##0")&amp;"M"))</f>
        <v/>
      </c>
    </row>
    <row r="302" customFormat="false" ht="15" hidden="false" customHeight="false" outlineLevel="0" collapsed="false">
      <c r="A302" s="0" t="str">
        <f aca="false">IF('Deal Tracker'!C302="","",COUNTIF('Deal Tracker'!$C$2:C302,'Deal Tracker'!C302))</f>
        <v/>
      </c>
      <c r="B302" s="0" t="str">
        <f aca="false">IF(A302="","",'Deal Tracker'!C302&amp;"#"&amp;A302)</f>
        <v/>
      </c>
      <c r="C302" s="0" t="str">
        <f aca="false">IF('Deal Tracker'!B302="","",'Deal Tracker'!B302&amp;IF('Deal Tracker'!D302=""," — size TBD"," — $"&amp;TEXT('Deal Tracker'!D302,"#,##0")&amp;"M"))</f>
        <v/>
      </c>
    </row>
    <row r="303" customFormat="false" ht="15" hidden="false" customHeight="false" outlineLevel="0" collapsed="false">
      <c r="A303" s="0" t="str">
        <f aca="false">IF('Deal Tracker'!C303="","",COUNTIF('Deal Tracker'!$C$2:C303,'Deal Tracker'!C303))</f>
        <v/>
      </c>
      <c r="B303" s="0" t="str">
        <f aca="false">IF(A303="","",'Deal Tracker'!C303&amp;"#"&amp;A303)</f>
        <v/>
      </c>
      <c r="C303" s="0" t="str">
        <f aca="false">IF('Deal Tracker'!B303="","",'Deal Tracker'!B303&amp;IF('Deal Tracker'!D303=""," — size TBD"," — $"&amp;TEXT('Deal Tracker'!D303,"#,##0")&amp;"M"))</f>
        <v/>
      </c>
    </row>
    <row r="304" customFormat="false" ht="15" hidden="false" customHeight="false" outlineLevel="0" collapsed="false">
      <c r="A304" s="0" t="str">
        <f aca="false">IF('Deal Tracker'!C304="","",COUNTIF('Deal Tracker'!$C$2:C304,'Deal Tracker'!C304))</f>
        <v/>
      </c>
      <c r="B304" s="0" t="str">
        <f aca="false">IF(A304="","",'Deal Tracker'!C304&amp;"#"&amp;A304)</f>
        <v/>
      </c>
      <c r="C304" s="0" t="str">
        <f aca="false">IF('Deal Tracker'!B304="","",'Deal Tracker'!B304&amp;IF('Deal Tracker'!D304=""," — size TBD"," — $"&amp;TEXT('Deal Tracker'!D304,"#,##0")&amp;"M"))</f>
        <v/>
      </c>
    </row>
    <row r="305" customFormat="false" ht="15" hidden="false" customHeight="false" outlineLevel="0" collapsed="false">
      <c r="A305" s="0" t="str">
        <f aca="false">IF('Deal Tracker'!C305="","",COUNTIF('Deal Tracker'!$C$2:C305,'Deal Tracker'!C305))</f>
        <v/>
      </c>
      <c r="B305" s="0" t="str">
        <f aca="false">IF(A305="","",'Deal Tracker'!C305&amp;"#"&amp;A305)</f>
        <v/>
      </c>
      <c r="C305" s="0" t="str">
        <f aca="false">IF('Deal Tracker'!B305="","",'Deal Tracker'!B305&amp;IF('Deal Tracker'!D305=""," — size TBD"," — $"&amp;TEXT('Deal Tracker'!D305,"#,##0")&amp;"M"))</f>
        <v/>
      </c>
    </row>
    <row r="306" customFormat="false" ht="15" hidden="false" customHeight="false" outlineLevel="0" collapsed="false">
      <c r="A306" s="0" t="str">
        <f aca="false">IF('Deal Tracker'!C306="","",COUNTIF('Deal Tracker'!$C$2:C306,'Deal Tracker'!C306))</f>
        <v/>
      </c>
      <c r="B306" s="0" t="str">
        <f aca="false">IF(A306="","",'Deal Tracker'!C306&amp;"#"&amp;A306)</f>
        <v/>
      </c>
      <c r="C306" s="0" t="str">
        <f aca="false">IF('Deal Tracker'!B306="","",'Deal Tracker'!B306&amp;IF('Deal Tracker'!D306=""," — size TBD"," — $"&amp;TEXT('Deal Tracker'!D306,"#,##0")&amp;"M"))</f>
        <v/>
      </c>
    </row>
    <row r="307" customFormat="false" ht="15" hidden="false" customHeight="false" outlineLevel="0" collapsed="false">
      <c r="A307" s="0" t="str">
        <f aca="false">IF('Deal Tracker'!C307="","",COUNTIF('Deal Tracker'!$C$2:C307,'Deal Tracker'!C307))</f>
        <v/>
      </c>
      <c r="B307" s="0" t="str">
        <f aca="false">IF(A307="","",'Deal Tracker'!C307&amp;"#"&amp;A307)</f>
        <v/>
      </c>
      <c r="C307" s="0" t="str">
        <f aca="false">IF('Deal Tracker'!B307="","",'Deal Tracker'!B307&amp;IF('Deal Tracker'!D307=""," — size TBD"," — $"&amp;TEXT('Deal Tracker'!D307,"#,##0")&amp;"M"))</f>
        <v/>
      </c>
    </row>
    <row r="308" customFormat="false" ht="15" hidden="false" customHeight="false" outlineLevel="0" collapsed="false">
      <c r="A308" s="0" t="str">
        <f aca="false">IF('Deal Tracker'!C308="","",COUNTIF('Deal Tracker'!$C$2:C308,'Deal Tracker'!C308))</f>
        <v/>
      </c>
      <c r="B308" s="0" t="str">
        <f aca="false">IF(A308="","",'Deal Tracker'!C308&amp;"#"&amp;A308)</f>
        <v/>
      </c>
      <c r="C308" s="0" t="str">
        <f aca="false">IF('Deal Tracker'!B308="","",'Deal Tracker'!B308&amp;IF('Deal Tracker'!D308=""," — size TBD"," — $"&amp;TEXT('Deal Tracker'!D308,"#,##0")&amp;"M"))</f>
        <v/>
      </c>
    </row>
    <row r="309" customFormat="false" ht="15" hidden="false" customHeight="false" outlineLevel="0" collapsed="false">
      <c r="A309" s="0" t="str">
        <f aca="false">IF('Deal Tracker'!C309="","",COUNTIF('Deal Tracker'!$C$2:C309,'Deal Tracker'!C309))</f>
        <v/>
      </c>
      <c r="B309" s="0" t="str">
        <f aca="false">IF(A309="","",'Deal Tracker'!C309&amp;"#"&amp;A309)</f>
        <v/>
      </c>
      <c r="C309" s="0" t="str">
        <f aca="false">IF('Deal Tracker'!B309="","",'Deal Tracker'!B309&amp;IF('Deal Tracker'!D309=""," — size TBD"," — $"&amp;TEXT('Deal Tracker'!D309,"#,##0")&amp;"M"))</f>
        <v/>
      </c>
    </row>
    <row r="310" customFormat="false" ht="15" hidden="false" customHeight="false" outlineLevel="0" collapsed="false">
      <c r="A310" s="0" t="str">
        <f aca="false">IF('Deal Tracker'!C310="","",COUNTIF('Deal Tracker'!$C$2:C310,'Deal Tracker'!C310))</f>
        <v/>
      </c>
      <c r="B310" s="0" t="str">
        <f aca="false">IF(A310="","",'Deal Tracker'!C310&amp;"#"&amp;A310)</f>
        <v/>
      </c>
      <c r="C310" s="0" t="str">
        <f aca="false">IF('Deal Tracker'!B310="","",'Deal Tracker'!B310&amp;IF('Deal Tracker'!D310=""," — size TBD"," — $"&amp;TEXT('Deal Tracker'!D310,"#,##0")&amp;"M"))</f>
        <v/>
      </c>
    </row>
    <row r="311" customFormat="false" ht="15" hidden="false" customHeight="false" outlineLevel="0" collapsed="false">
      <c r="A311" s="0" t="str">
        <f aca="false">IF('Deal Tracker'!C311="","",COUNTIF('Deal Tracker'!$C$2:C311,'Deal Tracker'!C311))</f>
        <v/>
      </c>
      <c r="B311" s="0" t="str">
        <f aca="false">IF(A311="","",'Deal Tracker'!C311&amp;"#"&amp;A311)</f>
        <v/>
      </c>
      <c r="C311" s="0" t="str">
        <f aca="false">IF('Deal Tracker'!B311="","",'Deal Tracker'!B311&amp;IF('Deal Tracker'!D311=""," — size TBD"," — $"&amp;TEXT('Deal Tracker'!D311,"#,##0")&amp;"M"))</f>
        <v/>
      </c>
    </row>
    <row r="312" customFormat="false" ht="15" hidden="false" customHeight="false" outlineLevel="0" collapsed="false">
      <c r="A312" s="0" t="str">
        <f aca="false">IF('Deal Tracker'!C312="","",COUNTIF('Deal Tracker'!$C$2:C312,'Deal Tracker'!C312))</f>
        <v/>
      </c>
      <c r="B312" s="0" t="str">
        <f aca="false">IF(A312="","",'Deal Tracker'!C312&amp;"#"&amp;A312)</f>
        <v/>
      </c>
      <c r="C312" s="0" t="str">
        <f aca="false">IF('Deal Tracker'!B312="","",'Deal Tracker'!B312&amp;IF('Deal Tracker'!D312=""," — size TBD"," — $"&amp;TEXT('Deal Tracker'!D312,"#,##0")&amp;"M"))</f>
        <v/>
      </c>
    </row>
    <row r="313" customFormat="false" ht="15" hidden="false" customHeight="false" outlineLevel="0" collapsed="false">
      <c r="A313" s="0" t="str">
        <f aca="false">IF('Deal Tracker'!C313="","",COUNTIF('Deal Tracker'!$C$2:C313,'Deal Tracker'!C313))</f>
        <v/>
      </c>
      <c r="B313" s="0" t="str">
        <f aca="false">IF(A313="","",'Deal Tracker'!C313&amp;"#"&amp;A313)</f>
        <v/>
      </c>
      <c r="C313" s="0" t="str">
        <f aca="false">IF('Deal Tracker'!B313="","",'Deal Tracker'!B313&amp;IF('Deal Tracker'!D313=""," — size TBD"," — $"&amp;TEXT('Deal Tracker'!D313,"#,##0")&amp;"M"))</f>
        <v/>
      </c>
    </row>
    <row r="314" customFormat="false" ht="15" hidden="false" customHeight="false" outlineLevel="0" collapsed="false">
      <c r="A314" s="0" t="str">
        <f aca="false">IF('Deal Tracker'!C314="","",COUNTIF('Deal Tracker'!$C$2:C314,'Deal Tracker'!C314))</f>
        <v/>
      </c>
      <c r="B314" s="0" t="str">
        <f aca="false">IF(A314="","",'Deal Tracker'!C314&amp;"#"&amp;A314)</f>
        <v/>
      </c>
      <c r="C314" s="0" t="str">
        <f aca="false">IF('Deal Tracker'!B314="","",'Deal Tracker'!B314&amp;IF('Deal Tracker'!D314=""," — size TBD"," — $"&amp;TEXT('Deal Tracker'!D314,"#,##0")&amp;"M"))</f>
        <v/>
      </c>
    </row>
    <row r="315" customFormat="false" ht="15" hidden="false" customHeight="false" outlineLevel="0" collapsed="false">
      <c r="A315" s="0" t="str">
        <f aca="false">IF('Deal Tracker'!C315="","",COUNTIF('Deal Tracker'!$C$2:C315,'Deal Tracker'!C315))</f>
        <v/>
      </c>
      <c r="B315" s="0" t="str">
        <f aca="false">IF(A315="","",'Deal Tracker'!C315&amp;"#"&amp;A315)</f>
        <v/>
      </c>
      <c r="C315" s="0" t="str">
        <f aca="false">IF('Deal Tracker'!B315="","",'Deal Tracker'!B315&amp;IF('Deal Tracker'!D315=""," — size TBD"," — $"&amp;TEXT('Deal Tracker'!D315,"#,##0")&amp;"M"))</f>
        <v/>
      </c>
    </row>
    <row r="316" customFormat="false" ht="15" hidden="false" customHeight="false" outlineLevel="0" collapsed="false">
      <c r="A316" s="0" t="str">
        <f aca="false">IF('Deal Tracker'!C316="","",COUNTIF('Deal Tracker'!$C$2:C316,'Deal Tracker'!C316))</f>
        <v/>
      </c>
      <c r="B316" s="0" t="str">
        <f aca="false">IF(A316="","",'Deal Tracker'!C316&amp;"#"&amp;A316)</f>
        <v/>
      </c>
      <c r="C316" s="0" t="str">
        <f aca="false">IF('Deal Tracker'!B316="","",'Deal Tracker'!B316&amp;IF('Deal Tracker'!D316=""," — size TBD"," — $"&amp;TEXT('Deal Tracker'!D316,"#,##0")&amp;"M"))</f>
        <v/>
      </c>
    </row>
    <row r="317" customFormat="false" ht="15" hidden="false" customHeight="false" outlineLevel="0" collapsed="false">
      <c r="A317" s="0" t="str">
        <f aca="false">IF('Deal Tracker'!C317="","",COUNTIF('Deal Tracker'!$C$2:C317,'Deal Tracker'!C317))</f>
        <v/>
      </c>
      <c r="B317" s="0" t="str">
        <f aca="false">IF(A317="","",'Deal Tracker'!C317&amp;"#"&amp;A317)</f>
        <v/>
      </c>
      <c r="C317" s="0" t="str">
        <f aca="false">IF('Deal Tracker'!B317="","",'Deal Tracker'!B317&amp;IF('Deal Tracker'!D317=""," — size TBD"," — $"&amp;TEXT('Deal Tracker'!D317,"#,##0")&amp;"M"))</f>
        <v/>
      </c>
    </row>
    <row r="318" customFormat="false" ht="15" hidden="false" customHeight="false" outlineLevel="0" collapsed="false">
      <c r="A318" s="0" t="str">
        <f aca="false">IF('Deal Tracker'!C318="","",COUNTIF('Deal Tracker'!$C$2:C318,'Deal Tracker'!C318))</f>
        <v/>
      </c>
      <c r="B318" s="0" t="str">
        <f aca="false">IF(A318="","",'Deal Tracker'!C318&amp;"#"&amp;A318)</f>
        <v/>
      </c>
      <c r="C318" s="0" t="str">
        <f aca="false">IF('Deal Tracker'!B318="","",'Deal Tracker'!B318&amp;IF('Deal Tracker'!D318=""," — size TBD"," — $"&amp;TEXT('Deal Tracker'!D318,"#,##0")&amp;"M"))</f>
        <v/>
      </c>
    </row>
    <row r="319" customFormat="false" ht="15" hidden="false" customHeight="false" outlineLevel="0" collapsed="false">
      <c r="A319" s="0" t="str">
        <f aca="false">IF('Deal Tracker'!C319="","",COUNTIF('Deal Tracker'!$C$2:C319,'Deal Tracker'!C319))</f>
        <v/>
      </c>
      <c r="B319" s="0" t="str">
        <f aca="false">IF(A319="","",'Deal Tracker'!C319&amp;"#"&amp;A319)</f>
        <v/>
      </c>
      <c r="C319" s="0" t="str">
        <f aca="false">IF('Deal Tracker'!B319="","",'Deal Tracker'!B319&amp;IF('Deal Tracker'!D319=""," — size TBD"," — $"&amp;TEXT('Deal Tracker'!D319,"#,##0")&amp;"M"))</f>
        <v/>
      </c>
    </row>
    <row r="320" customFormat="false" ht="15" hidden="false" customHeight="false" outlineLevel="0" collapsed="false">
      <c r="A320" s="0" t="str">
        <f aca="false">IF('Deal Tracker'!C320="","",COUNTIF('Deal Tracker'!$C$2:C320,'Deal Tracker'!C320))</f>
        <v/>
      </c>
      <c r="B320" s="0" t="str">
        <f aca="false">IF(A320="","",'Deal Tracker'!C320&amp;"#"&amp;A320)</f>
        <v/>
      </c>
      <c r="C320" s="0" t="str">
        <f aca="false">IF('Deal Tracker'!B320="","",'Deal Tracker'!B320&amp;IF('Deal Tracker'!D320=""," — size TBD"," — $"&amp;TEXT('Deal Tracker'!D320,"#,##0")&amp;"M"))</f>
        <v/>
      </c>
    </row>
    <row r="321" customFormat="false" ht="15" hidden="false" customHeight="false" outlineLevel="0" collapsed="false">
      <c r="A321" s="0" t="str">
        <f aca="false">IF('Deal Tracker'!C321="","",COUNTIF('Deal Tracker'!$C$2:C321,'Deal Tracker'!C321))</f>
        <v/>
      </c>
      <c r="B321" s="0" t="str">
        <f aca="false">IF(A321="","",'Deal Tracker'!C321&amp;"#"&amp;A321)</f>
        <v/>
      </c>
      <c r="C321" s="0" t="str">
        <f aca="false">IF('Deal Tracker'!B321="","",'Deal Tracker'!B321&amp;IF('Deal Tracker'!D321=""," — size TBD"," — $"&amp;TEXT('Deal Tracker'!D321,"#,##0")&amp;"M"))</f>
        <v/>
      </c>
    </row>
    <row r="322" customFormat="false" ht="15" hidden="false" customHeight="false" outlineLevel="0" collapsed="false">
      <c r="A322" s="0" t="str">
        <f aca="false">IF('Deal Tracker'!C322="","",COUNTIF('Deal Tracker'!$C$2:C322,'Deal Tracker'!C322))</f>
        <v/>
      </c>
      <c r="B322" s="0" t="str">
        <f aca="false">IF(A322="","",'Deal Tracker'!C322&amp;"#"&amp;A322)</f>
        <v/>
      </c>
      <c r="C322" s="0" t="str">
        <f aca="false">IF('Deal Tracker'!B322="","",'Deal Tracker'!B322&amp;IF('Deal Tracker'!D322=""," — size TBD"," — $"&amp;TEXT('Deal Tracker'!D322,"#,##0")&amp;"M"))</f>
        <v/>
      </c>
    </row>
    <row r="323" customFormat="false" ht="15" hidden="false" customHeight="false" outlineLevel="0" collapsed="false">
      <c r="A323" s="0" t="str">
        <f aca="false">IF('Deal Tracker'!C323="","",COUNTIF('Deal Tracker'!$C$2:C323,'Deal Tracker'!C323))</f>
        <v/>
      </c>
      <c r="B323" s="0" t="str">
        <f aca="false">IF(A323="","",'Deal Tracker'!C323&amp;"#"&amp;A323)</f>
        <v/>
      </c>
      <c r="C323" s="0" t="str">
        <f aca="false">IF('Deal Tracker'!B323="","",'Deal Tracker'!B323&amp;IF('Deal Tracker'!D323=""," — size TBD"," — $"&amp;TEXT('Deal Tracker'!D323,"#,##0")&amp;"M"))</f>
        <v/>
      </c>
    </row>
    <row r="324" customFormat="false" ht="15" hidden="false" customHeight="false" outlineLevel="0" collapsed="false">
      <c r="A324" s="0" t="str">
        <f aca="false">IF('Deal Tracker'!C324="","",COUNTIF('Deal Tracker'!$C$2:C324,'Deal Tracker'!C324))</f>
        <v/>
      </c>
      <c r="B324" s="0" t="str">
        <f aca="false">IF(A324="","",'Deal Tracker'!C324&amp;"#"&amp;A324)</f>
        <v/>
      </c>
      <c r="C324" s="0" t="str">
        <f aca="false">IF('Deal Tracker'!B324="","",'Deal Tracker'!B324&amp;IF('Deal Tracker'!D324=""," — size TBD"," — $"&amp;TEXT('Deal Tracker'!D324,"#,##0")&amp;"M"))</f>
        <v/>
      </c>
    </row>
    <row r="325" customFormat="false" ht="15" hidden="false" customHeight="false" outlineLevel="0" collapsed="false">
      <c r="A325" s="0" t="str">
        <f aca="false">IF('Deal Tracker'!C325="","",COUNTIF('Deal Tracker'!$C$2:C325,'Deal Tracker'!C325))</f>
        <v/>
      </c>
      <c r="B325" s="0" t="str">
        <f aca="false">IF(A325="","",'Deal Tracker'!C325&amp;"#"&amp;A325)</f>
        <v/>
      </c>
      <c r="C325" s="0" t="str">
        <f aca="false">IF('Deal Tracker'!B325="","",'Deal Tracker'!B325&amp;IF('Deal Tracker'!D325=""," — size TBD"," — $"&amp;TEXT('Deal Tracker'!D325,"#,##0")&amp;"M"))</f>
        <v/>
      </c>
    </row>
    <row r="326" customFormat="false" ht="15" hidden="false" customHeight="false" outlineLevel="0" collapsed="false">
      <c r="A326" s="0" t="str">
        <f aca="false">IF('Deal Tracker'!C326="","",COUNTIF('Deal Tracker'!$C$2:C326,'Deal Tracker'!C326))</f>
        <v/>
      </c>
      <c r="B326" s="0" t="str">
        <f aca="false">IF(A326="","",'Deal Tracker'!C326&amp;"#"&amp;A326)</f>
        <v/>
      </c>
      <c r="C326" s="0" t="str">
        <f aca="false">IF('Deal Tracker'!B326="","",'Deal Tracker'!B326&amp;IF('Deal Tracker'!D326=""," — size TBD"," — $"&amp;TEXT('Deal Tracker'!D326,"#,##0")&amp;"M"))</f>
        <v/>
      </c>
    </row>
    <row r="327" customFormat="false" ht="15" hidden="false" customHeight="false" outlineLevel="0" collapsed="false">
      <c r="A327" s="0" t="str">
        <f aca="false">IF('Deal Tracker'!C327="","",COUNTIF('Deal Tracker'!$C$2:C327,'Deal Tracker'!C327))</f>
        <v/>
      </c>
      <c r="B327" s="0" t="str">
        <f aca="false">IF(A327="","",'Deal Tracker'!C327&amp;"#"&amp;A327)</f>
        <v/>
      </c>
      <c r="C327" s="0" t="str">
        <f aca="false">IF('Deal Tracker'!B327="","",'Deal Tracker'!B327&amp;IF('Deal Tracker'!D327=""," — size TBD"," — $"&amp;TEXT('Deal Tracker'!D327,"#,##0")&amp;"M"))</f>
        <v/>
      </c>
    </row>
    <row r="328" customFormat="false" ht="15" hidden="false" customHeight="false" outlineLevel="0" collapsed="false">
      <c r="A328" s="0" t="str">
        <f aca="false">IF('Deal Tracker'!C328="","",COUNTIF('Deal Tracker'!$C$2:C328,'Deal Tracker'!C328))</f>
        <v/>
      </c>
      <c r="B328" s="0" t="str">
        <f aca="false">IF(A328="","",'Deal Tracker'!C328&amp;"#"&amp;A328)</f>
        <v/>
      </c>
      <c r="C328" s="0" t="str">
        <f aca="false">IF('Deal Tracker'!B328="","",'Deal Tracker'!B328&amp;IF('Deal Tracker'!D328=""," — size TBD"," — $"&amp;TEXT('Deal Tracker'!D328,"#,##0")&amp;"M"))</f>
        <v/>
      </c>
    </row>
    <row r="329" customFormat="false" ht="15" hidden="false" customHeight="false" outlineLevel="0" collapsed="false">
      <c r="A329" s="0" t="str">
        <f aca="false">IF('Deal Tracker'!C329="","",COUNTIF('Deal Tracker'!$C$2:C329,'Deal Tracker'!C329))</f>
        <v/>
      </c>
      <c r="B329" s="0" t="str">
        <f aca="false">IF(A329="","",'Deal Tracker'!C329&amp;"#"&amp;A329)</f>
        <v/>
      </c>
      <c r="C329" s="0" t="str">
        <f aca="false">IF('Deal Tracker'!B329="","",'Deal Tracker'!B329&amp;IF('Deal Tracker'!D329=""," — size TBD"," — $"&amp;TEXT('Deal Tracker'!D329,"#,##0")&amp;"M"))</f>
        <v/>
      </c>
    </row>
    <row r="330" customFormat="false" ht="15" hidden="false" customHeight="false" outlineLevel="0" collapsed="false">
      <c r="A330" s="0" t="str">
        <f aca="false">IF('Deal Tracker'!C330="","",COUNTIF('Deal Tracker'!$C$2:C330,'Deal Tracker'!C330))</f>
        <v/>
      </c>
      <c r="B330" s="0" t="str">
        <f aca="false">IF(A330="","",'Deal Tracker'!C330&amp;"#"&amp;A330)</f>
        <v/>
      </c>
      <c r="C330" s="0" t="str">
        <f aca="false">IF('Deal Tracker'!B330="","",'Deal Tracker'!B330&amp;IF('Deal Tracker'!D330=""," — size TBD"," — $"&amp;TEXT('Deal Tracker'!D330,"#,##0")&amp;"M"))</f>
        <v/>
      </c>
    </row>
    <row r="331" customFormat="false" ht="15" hidden="false" customHeight="false" outlineLevel="0" collapsed="false">
      <c r="A331" s="0" t="str">
        <f aca="false">IF('Deal Tracker'!C331="","",COUNTIF('Deal Tracker'!$C$2:C331,'Deal Tracker'!C331))</f>
        <v/>
      </c>
      <c r="B331" s="0" t="str">
        <f aca="false">IF(A331="","",'Deal Tracker'!C331&amp;"#"&amp;A331)</f>
        <v/>
      </c>
      <c r="C331" s="0" t="str">
        <f aca="false">IF('Deal Tracker'!B331="","",'Deal Tracker'!B331&amp;IF('Deal Tracker'!D331=""," — size TBD"," — $"&amp;TEXT('Deal Tracker'!D331,"#,##0")&amp;"M"))</f>
        <v/>
      </c>
    </row>
    <row r="332" customFormat="false" ht="15" hidden="false" customHeight="false" outlineLevel="0" collapsed="false">
      <c r="A332" s="0" t="str">
        <f aca="false">IF('Deal Tracker'!C332="","",COUNTIF('Deal Tracker'!$C$2:C332,'Deal Tracker'!C332))</f>
        <v/>
      </c>
      <c r="B332" s="0" t="str">
        <f aca="false">IF(A332="","",'Deal Tracker'!C332&amp;"#"&amp;A332)</f>
        <v/>
      </c>
      <c r="C332" s="0" t="str">
        <f aca="false">IF('Deal Tracker'!B332="","",'Deal Tracker'!B332&amp;IF('Deal Tracker'!D332=""," — size TBD"," — $"&amp;TEXT('Deal Tracker'!D332,"#,##0")&amp;"M"))</f>
        <v/>
      </c>
    </row>
    <row r="333" customFormat="false" ht="15" hidden="false" customHeight="false" outlineLevel="0" collapsed="false">
      <c r="A333" s="0" t="str">
        <f aca="false">IF('Deal Tracker'!C333="","",COUNTIF('Deal Tracker'!$C$2:C333,'Deal Tracker'!C333))</f>
        <v/>
      </c>
      <c r="B333" s="0" t="str">
        <f aca="false">IF(A333="","",'Deal Tracker'!C333&amp;"#"&amp;A333)</f>
        <v/>
      </c>
      <c r="C333" s="0" t="str">
        <f aca="false">IF('Deal Tracker'!B333="","",'Deal Tracker'!B333&amp;IF('Deal Tracker'!D333=""," — size TBD"," — $"&amp;TEXT('Deal Tracker'!D333,"#,##0")&amp;"M"))</f>
        <v/>
      </c>
    </row>
    <row r="334" customFormat="false" ht="15" hidden="false" customHeight="false" outlineLevel="0" collapsed="false">
      <c r="A334" s="0" t="str">
        <f aca="false">IF('Deal Tracker'!C334="","",COUNTIF('Deal Tracker'!$C$2:C334,'Deal Tracker'!C334))</f>
        <v/>
      </c>
      <c r="B334" s="0" t="str">
        <f aca="false">IF(A334="","",'Deal Tracker'!C334&amp;"#"&amp;A334)</f>
        <v/>
      </c>
      <c r="C334" s="0" t="str">
        <f aca="false">IF('Deal Tracker'!B334="","",'Deal Tracker'!B334&amp;IF('Deal Tracker'!D334=""," — size TBD"," — $"&amp;TEXT('Deal Tracker'!D334,"#,##0")&amp;"M"))</f>
        <v/>
      </c>
    </row>
    <row r="335" customFormat="false" ht="15" hidden="false" customHeight="false" outlineLevel="0" collapsed="false">
      <c r="A335" s="0" t="str">
        <f aca="false">IF('Deal Tracker'!C335="","",COUNTIF('Deal Tracker'!$C$2:C335,'Deal Tracker'!C335))</f>
        <v/>
      </c>
      <c r="B335" s="0" t="str">
        <f aca="false">IF(A335="","",'Deal Tracker'!C335&amp;"#"&amp;A335)</f>
        <v/>
      </c>
      <c r="C335" s="0" t="str">
        <f aca="false">IF('Deal Tracker'!B335="","",'Deal Tracker'!B335&amp;IF('Deal Tracker'!D335=""," — size TBD"," — $"&amp;TEXT('Deal Tracker'!D335,"#,##0")&amp;"M"))</f>
        <v/>
      </c>
    </row>
    <row r="336" customFormat="false" ht="15" hidden="false" customHeight="false" outlineLevel="0" collapsed="false">
      <c r="A336" s="0" t="str">
        <f aca="false">IF('Deal Tracker'!C336="","",COUNTIF('Deal Tracker'!$C$2:C336,'Deal Tracker'!C336))</f>
        <v/>
      </c>
      <c r="B336" s="0" t="str">
        <f aca="false">IF(A336="","",'Deal Tracker'!C336&amp;"#"&amp;A336)</f>
        <v/>
      </c>
      <c r="C336" s="0" t="str">
        <f aca="false">IF('Deal Tracker'!B336="","",'Deal Tracker'!B336&amp;IF('Deal Tracker'!D336=""," — size TBD"," — $"&amp;TEXT('Deal Tracker'!D336,"#,##0")&amp;"M"))</f>
        <v/>
      </c>
    </row>
    <row r="337" customFormat="false" ht="15" hidden="false" customHeight="false" outlineLevel="0" collapsed="false">
      <c r="A337" s="0" t="str">
        <f aca="false">IF('Deal Tracker'!C337="","",COUNTIF('Deal Tracker'!$C$2:C337,'Deal Tracker'!C337))</f>
        <v/>
      </c>
      <c r="B337" s="0" t="str">
        <f aca="false">IF(A337="","",'Deal Tracker'!C337&amp;"#"&amp;A337)</f>
        <v/>
      </c>
      <c r="C337" s="0" t="str">
        <f aca="false">IF('Deal Tracker'!B337="","",'Deal Tracker'!B337&amp;IF('Deal Tracker'!D337=""," — size TBD"," — $"&amp;TEXT('Deal Tracker'!D337,"#,##0")&amp;"M"))</f>
        <v/>
      </c>
    </row>
    <row r="338" customFormat="false" ht="15" hidden="false" customHeight="false" outlineLevel="0" collapsed="false">
      <c r="A338" s="0" t="str">
        <f aca="false">IF('Deal Tracker'!C338="","",COUNTIF('Deal Tracker'!$C$2:C338,'Deal Tracker'!C338))</f>
        <v/>
      </c>
      <c r="B338" s="0" t="str">
        <f aca="false">IF(A338="","",'Deal Tracker'!C338&amp;"#"&amp;A338)</f>
        <v/>
      </c>
      <c r="C338" s="0" t="str">
        <f aca="false">IF('Deal Tracker'!B338="","",'Deal Tracker'!B338&amp;IF('Deal Tracker'!D338=""," — size TBD"," — $"&amp;TEXT('Deal Tracker'!D338,"#,##0")&amp;"M"))</f>
        <v/>
      </c>
    </row>
    <row r="339" customFormat="false" ht="15" hidden="false" customHeight="false" outlineLevel="0" collapsed="false">
      <c r="A339" s="0" t="str">
        <f aca="false">IF('Deal Tracker'!C339="","",COUNTIF('Deal Tracker'!$C$2:C339,'Deal Tracker'!C339))</f>
        <v/>
      </c>
      <c r="B339" s="0" t="str">
        <f aca="false">IF(A339="","",'Deal Tracker'!C339&amp;"#"&amp;A339)</f>
        <v/>
      </c>
      <c r="C339" s="0" t="str">
        <f aca="false">IF('Deal Tracker'!B339="","",'Deal Tracker'!B339&amp;IF('Deal Tracker'!D339=""," — size TBD"," — $"&amp;TEXT('Deal Tracker'!D339,"#,##0")&amp;"M"))</f>
        <v/>
      </c>
    </row>
    <row r="340" customFormat="false" ht="15" hidden="false" customHeight="false" outlineLevel="0" collapsed="false">
      <c r="A340" s="0" t="str">
        <f aca="false">IF('Deal Tracker'!C340="","",COUNTIF('Deal Tracker'!$C$2:C340,'Deal Tracker'!C340))</f>
        <v/>
      </c>
      <c r="B340" s="0" t="str">
        <f aca="false">IF(A340="","",'Deal Tracker'!C340&amp;"#"&amp;A340)</f>
        <v/>
      </c>
      <c r="C340" s="0" t="str">
        <f aca="false">IF('Deal Tracker'!B340="","",'Deal Tracker'!B340&amp;IF('Deal Tracker'!D340=""," — size TBD"," — $"&amp;TEXT('Deal Tracker'!D340,"#,##0")&amp;"M"))</f>
        <v/>
      </c>
    </row>
    <row r="341" customFormat="false" ht="15" hidden="false" customHeight="false" outlineLevel="0" collapsed="false">
      <c r="A341" s="0" t="str">
        <f aca="false">IF('Deal Tracker'!C341="","",COUNTIF('Deal Tracker'!$C$2:C341,'Deal Tracker'!C341))</f>
        <v/>
      </c>
      <c r="B341" s="0" t="str">
        <f aca="false">IF(A341="","",'Deal Tracker'!C341&amp;"#"&amp;A341)</f>
        <v/>
      </c>
      <c r="C341" s="0" t="str">
        <f aca="false">IF('Deal Tracker'!B341="","",'Deal Tracker'!B341&amp;IF('Deal Tracker'!D341=""," — size TBD"," — $"&amp;TEXT('Deal Tracker'!D341,"#,##0")&amp;"M"))</f>
        <v/>
      </c>
    </row>
    <row r="342" customFormat="false" ht="15" hidden="false" customHeight="false" outlineLevel="0" collapsed="false">
      <c r="A342" s="0" t="str">
        <f aca="false">IF('Deal Tracker'!C342="","",COUNTIF('Deal Tracker'!$C$2:C342,'Deal Tracker'!C342))</f>
        <v/>
      </c>
      <c r="B342" s="0" t="str">
        <f aca="false">IF(A342="","",'Deal Tracker'!C342&amp;"#"&amp;A342)</f>
        <v/>
      </c>
      <c r="C342" s="0" t="str">
        <f aca="false">IF('Deal Tracker'!B342="","",'Deal Tracker'!B342&amp;IF('Deal Tracker'!D342=""," — size TBD"," — $"&amp;TEXT('Deal Tracker'!D342,"#,##0")&amp;"M"))</f>
        <v/>
      </c>
    </row>
    <row r="343" customFormat="false" ht="15" hidden="false" customHeight="false" outlineLevel="0" collapsed="false">
      <c r="A343" s="0" t="str">
        <f aca="false">IF('Deal Tracker'!C343="","",COUNTIF('Deal Tracker'!$C$2:C343,'Deal Tracker'!C343))</f>
        <v/>
      </c>
      <c r="B343" s="0" t="str">
        <f aca="false">IF(A343="","",'Deal Tracker'!C343&amp;"#"&amp;A343)</f>
        <v/>
      </c>
      <c r="C343" s="0" t="str">
        <f aca="false">IF('Deal Tracker'!B343="","",'Deal Tracker'!B343&amp;IF('Deal Tracker'!D343=""," — size TBD"," — $"&amp;TEXT('Deal Tracker'!D343,"#,##0")&amp;"M"))</f>
        <v/>
      </c>
    </row>
    <row r="344" customFormat="false" ht="15" hidden="false" customHeight="false" outlineLevel="0" collapsed="false">
      <c r="A344" s="0" t="str">
        <f aca="false">IF('Deal Tracker'!C344="","",COUNTIF('Deal Tracker'!$C$2:C344,'Deal Tracker'!C344))</f>
        <v/>
      </c>
      <c r="B344" s="0" t="str">
        <f aca="false">IF(A344="","",'Deal Tracker'!C344&amp;"#"&amp;A344)</f>
        <v/>
      </c>
      <c r="C344" s="0" t="str">
        <f aca="false">IF('Deal Tracker'!B344="","",'Deal Tracker'!B344&amp;IF('Deal Tracker'!D344=""," — size TBD"," — $"&amp;TEXT('Deal Tracker'!D344,"#,##0")&amp;"M"))</f>
        <v/>
      </c>
    </row>
    <row r="345" customFormat="false" ht="15" hidden="false" customHeight="false" outlineLevel="0" collapsed="false">
      <c r="A345" s="0" t="str">
        <f aca="false">IF('Deal Tracker'!C345="","",COUNTIF('Deal Tracker'!$C$2:C345,'Deal Tracker'!C345))</f>
        <v/>
      </c>
      <c r="B345" s="0" t="str">
        <f aca="false">IF(A345="","",'Deal Tracker'!C345&amp;"#"&amp;A345)</f>
        <v/>
      </c>
      <c r="C345" s="0" t="str">
        <f aca="false">IF('Deal Tracker'!B345="","",'Deal Tracker'!B345&amp;IF('Deal Tracker'!D345=""," — size TBD"," — $"&amp;TEXT('Deal Tracker'!D345,"#,##0")&amp;"M"))</f>
        <v/>
      </c>
    </row>
    <row r="346" customFormat="false" ht="15" hidden="false" customHeight="false" outlineLevel="0" collapsed="false">
      <c r="A346" s="0" t="str">
        <f aca="false">IF('Deal Tracker'!C346="","",COUNTIF('Deal Tracker'!$C$2:C346,'Deal Tracker'!C346))</f>
        <v/>
      </c>
      <c r="B346" s="0" t="str">
        <f aca="false">IF(A346="","",'Deal Tracker'!C346&amp;"#"&amp;A346)</f>
        <v/>
      </c>
      <c r="C346" s="0" t="str">
        <f aca="false">IF('Deal Tracker'!B346="","",'Deal Tracker'!B346&amp;IF('Deal Tracker'!D346=""," — size TBD"," — $"&amp;TEXT('Deal Tracker'!D346,"#,##0")&amp;"M"))</f>
        <v/>
      </c>
    </row>
    <row r="347" customFormat="false" ht="15" hidden="false" customHeight="false" outlineLevel="0" collapsed="false">
      <c r="A347" s="0" t="str">
        <f aca="false">IF('Deal Tracker'!C347="","",COUNTIF('Deal Tracker'!$C$2:C347,'Deal Tracker'!C347))</f>
        <v/>
      </c>
      <c r="B347" s="0" t="str">
        <f aca="false">IF(A347="","",'Deal Tracker'!C347&amp;"#"&amp;A347)</f>
        <v/>
      </c>
      <c r="C347" s="0" t="str">
        <f aca="false">IF('Deal Tracker'!B347="","",'Deal Tracker'!B347&amp;IF('Deal Tracker'!D347=""," — size TBD"," — $"&amp;TEXT('Deal Tracker'!D347,"#,##0")&amp;"M"))</f>
        <v/>
      </c>
    </row>
    <row r="348" customFormat="false" ht="15" hidden="false" customHeight="false" outlineLevel="0" collapsed="false">
      <c r="A348" s="0" t="str">
        <f aca="false">IF('Deal Tracker'!C348="","",COUNTIF('Deal Tracker'!$C$2:C348,'Deal Tracker'!C348))</f>
        <v/>
      </c>
      <c r="B348" s="0" t="str">
        <f aca="false">IF(A348="","",'Deal Tracker'!C348&amp;"#"&amp;A348)</f>
        <v/>
      </c>
      <c r="C348" s="0" t="str">
        <f aca="false">IF('Deal Tracker'!B348="","",'Deal Tracker'!B348&amp;IF('Deal Tracker'!D348=""," — size TBD"," — $"&amp;TEXT('Deal Tracker'!D348,"#,##0")&amp;"M"))</f>
        <v/>
      </c>
    </row>
    <row r="349" customFormat="false" ht="15" hidden="false" customHeight="false" outlineLevel="0" collapsed="false">
      <c r="A349" s="0" t="str">
        <f aca="false">IF('Deal Tracker'!C349="","",COUNTIF('Deal Tracker'!$C$2:C349,'Deal Tracker'!C349))</f>
        <v/>
      </c>
      <c r="B349" s="0" t="str">
        <f aca="false">IF(A349="","",'Deal Tracker'!C349&amp;"#"&amp;A349)</f>
        <v/>
      </c>
      <c r="C349" s="0" t="str">
        <f aca="false">IF('Deal Tracker'!B349="","",'Deal Tracker'!B349&amp;IF('Deal Tracker'!D349=""," — size TBD"," — $"&amp;TEXT('Deal Tracker'!D349,"#,##0")&amp;"M"))</f>
        <v/>
      </c>
    </row>
    <row r="350" customFormat="false" ht="15" hidden="false" customHeight="false" outlineLevel="0" collapsed="false">
      <c r="A350" s="0" t="str">
        <f aca="false">IF('Deal Tracker'!C350="","",COUNTIF('Deal Tracker'!$C$2:C350,'Deal Tracker'!C350))</f>
        <v/>
      </c>
      <c r="B350" s="0" t="str">
        <f aca="false">IF(A350="","",'Deal Tracker'!C350&amp;"#"&amp;A350)</f>
        <v/>
      </c>
      <c r="C350" s="0" t="str">
        <f aca="false">IF('Deal Tracker'!B350="","",'Deal Tracker'!B350&amp;IF('Deal Tracker'!D350=""," — size TBD"," — $"&amp;TEXT('Deal Tracker'!D350,"#,##0")&amp;"M"))</f>
        <v/>
      </c>
    </row>
    <row r="351" customFormat="false" ht="15" hidden="false" customHeight="false" outlineLevel="0" collapsed="false">
      <c r="A351" s="0" t="str">
        <f aca="false">IF('Deal Tracker'!C351="","",COUNTIF('Deal Tracker'!$C$2:C351,'Deal Tracker'!C351))</f>
        <v/>
      </c>
      <c r="B351" s="0" t="str">
        <f aca="false">IF(A351="","",'Deal Tracker'!C351&amp;"#"&amp;A351)</f>
        <v/>
      </c>
      <c r="C351" s="0" t="str">
        <f aca="false">IF('Deal Tracker'!B351="","",'Deal Tracker'!B351&amp;IF('Deal Tracker'!D351=""," — size TBD"," — $"&amp;TEXT('Deal Tracker'!D351,"#,##0")&amp;"M"))</f>
        <v/>
      </c>
    </row>
    <row r="352" customFormat="false" ht="15" hidden="false" customHeight="false" outlineLevel="0" collapsed="false">
      <c r="A352" s="0" t="str">
        <f aca="false">IF('Deal Tracker'!C352="","",COUNTIF('Deal Tracker'!$C$2:C352,'Deal Tracker'!C352))</f>
        <v/>
      </c>
      <c r="B352" s="0" t="str">
        <f aca="false">IF(A352="","",'Deal Tracker'!C352&amp;"#"&amp;A352)</f>
        <v/>
      </c>
      <c r="C352" s="0" t="str">
        <f aca="false">IF('Deal Tracker'!B352="","",'Deal Tracker'!B352&amp;IF('Deal Tracker'!D352=""," — size TBD"," — $"&amp;TEXT('Deal Tracker'!D352,"#,##0")&amp;"M"))</f>
        <v/>
      </c>
    </row>
    <row r="353" customFormat="false" ht="15" hidden="false" customHeight="false" outlineLevel="0" collapsed="false">
      <c r="A353" s="0" t="str">
        <f aca="false">IF('Deal Tracker'!C353="","",COUNTIF('Deal Tracker'!$C$2:C353,'Deal Tracker'!C353))</f>
        <v/>
      </c>
      <c r="B353" s="0" t="str">
        <f aca="false">IF(A353="","",'Deal Tracker'!C353&amp;"#"&amp;A353)</f>
        <v/>
      </c>
      <c r="C353" s="0" t="str">
        <f aca="false">IF('Deal Tracker'!B353="","",'Deal Tracker'!B353&amp;IF('Deal Tracker'!D353=""," — size TBD"," — $"&amp;TEXT('Deal Tracker'!D353,"#,##0")&amp;"M"))</f>
        <v/>
      </c>
    </row>
    <row r="354" customFormat="false" ht="15" hidden="false" customHeight="false" outlineLevel="0" collapsed="false">
      <c r="A354" s="0" t="str">
        <f aca="false">IF('Deal Tracker'!C354="","",COUNTIF('Deal Tracker'!$C$2:C354,'Deal Tracker'!C354))</f>
        <v/>
      </c>
      <c r="B354" s="0" t="str">
        <f aca="false">IF(A354="","",'Deal Tracker'!C354&amp;"#"&amp;A354)</f>
        <v/>
      </c>
      <c r="C354" s="0" t="str">
        <f aca="false">IF('Deal Tracker'!B354="","",'Deal Tracker'!B354&amp;IF('Deal Tracker'!D354=""," — size TBD"," — $"&amp;TEXT('Deal Tracker'!D354,"#,##0")&amp;"M"))</f>
        <v/>
      </c>
    </row>
    <row r="355" customFormat="false" ht="15" hidden="false" customHeight="false" outlineLevel="0" collapsed="false">
      <c r="A355" s="0" t="str">
        <f aca="false">IF('Deal Tracker'!C355="","",COUNTIF('Deal Tracker'!$C$2:C355,'Deal Tracker'!C355))</f>
        <v/>
      </c>
      <c r="B355" s="0" t="str">
        <f aca="false">IF(A355="","",'Deal Tracker'!C355&amp;"#"&amp;A355)</f>
        <v/>
      </c>
      <c r="C355" s="0" t="str">
        <f aca="false">IF('Deal Tracker'!B355="","",'Deal Tracker'!B355&amp;IF('Deal Tracker'!D355=""," — size TBD"," — $"&amp;TEXT('Deal Tracker'!D355,"#,##0")&amp;"M"))</f>
        <v/>
      </c>
    </row>
    <row r="356" customFormat="false" ht="15" hidden="false" customHeight="false" outlineLevel="0" collapsed="false">
      <c r="A356" s="0" t="str">
        <f aca="false">IF('Deal Tracker'!C356="","",COUNTIF('Deal Tracker'!$C$2:C356,'Deal Tracker'!C356))</f>
        <v/>
      </c>
      <c r="B356" s="0" t="str">
        <f aca="false">IF(A356="","",'Deal Tracker'!C356&amp;"#"&amp;A356)</f>
        <v/>
      </c>
      <c r="C356" s="0" t="str">
        <f aca="false">IF('Deal Tracker'!B356="","",'Deal Tracker'!B356&amp;IF('Deal Tracker'!D356=""," — size TBD"," — $"&amp;TEXT('Deal Tracker'!D356,"#,##0")&amp;"M"))</f>
        <v/>
      </c>
    </row>
    <row r="357" customFormat="false" ht="15" hidden="false" customHeight="false" outlineLevel="0" collapsed="false">
      <c r="A357" s="0" t="str">
        <f aca="false">IF('Deal Tracker'!C357="","",COUNTIF('Deal Tracker'!$C$2:C357,'Deal Tracker'!C357))</f>
        <v/>
      </c>
      <c r="B357" s="0" t="str">
        <f aca="false">IF(A357="","",'Deal Tracker'!C357&amp;"#"&amp;A357)</f>
        <v/>
      </c>
      <c r="C357" s="0" t="str">
        <f aca="false">IF('Deal Tracker'!B357="","",'Deal Tracker'!B357&amp;IF('Deal Tracker'!D357=""," — size TBD"," — $"&amp;TEXT('Deal Tracker'!D357,"#,##0")&amp;"M"))</f>
        <v/>
      </c>
    </row>
    <row r="358" customFormat="false" ht="15" hidden="false" customHeight="false" outlineLevel="0" collapsed="false">
      <c r="A358" s="0" t="str">
        <f aca="false">IF('Deal Tracker'!C358="","",COUNTIF('Deal Tracker'!$C$2:C358,'Deal Tracker'!C358))</f>
        <v/>
      </c>
      <c r="B358" s="0" t="str">
        <f aca="false">IF(A358="","",'Deal Tracker'!C358&amp;"#"&amp;A358)</f>
        <v/>
      </c>
      <c r="C358" s="0" t="str">
        <f aca="false">IF('Deal Tracker'!B358="","",'Deal Tracker'!B358&amp;IF('Deal Tracker'!D358=""," — size TBD"," — $"&amp;TEXT('Deal Tracker'!D358,"#,##0")&amp;"M"))</f>
        <v/>
      </c>
    </row>
    <row r="359" customFormat="false" ht="15" hidden="false" customHeight="false" outlineLevel="0" collapsed="false">
      <c r="A359" s="0" t="str">
        <f aca="false">IF('Deal Tracker'!C359="","",COUNTIF('Deal Tracker'!$C$2:C359,'Deal Tracker'!C359))</f>
        <v/>
      </c>
      <c r="B359" s="0" t="str">
        <f aca="false">IF(A359="","",'Deal Tracker'!C359&amp;"#"&amp;A359)</f>
        <v/>
      </c>
      <c r="C359" s="0" t="str">
        <f aca="false">IF('Deal Tracker'!B359="","",'Deal Tracker'!B359&amp;IF('Deal Tracker'!D359=""," — size TBD"," — $"&amp;TEXT('Deal Tracker'!D359,"#,##0")&amp;"M"))</f>
        <v/>
      </c>
    </row>
    <row r="360" customFormat="false" ht="15" hidden="false" customHeight="false" outlineLevel="0" collapsed="false">
      <c r="A360" s="0" t="str">
        <f aca="false">IF('Deal Tracker'!C360="","",COUNTIF('Deal Tracker'!$C$2:C360,'Deal Tracker'!C360))</f>
        <v/>
      </c>
      <c r="B360" s="0" t="str">
        <f aca="false">IF(A360="","",'Deal Tracker'!C360&amp;"#"&amp;A360)</f>
        <v/>
      </c>
      <c r="C360" s="0" t="str">
        <f aca="false">IF('Deal Tracker'!B360="","",'Deal Tracker'!B360&amp;IF('Deal Tracker'!D360=""," — size TBD"," — $"&amp;TEXT('Deal Tracker'!D360,"#,##0")&amp;"M"))</f>
        <v/>
      </c>
    </row>
    <row r="361" customFormat="false" ht="15" hidden="false" customHeight="false" outlineLevel="0" collapsed="false">
      <c r="A361" s="0" t="str">
        <f aca="false">IF('Deal Tracker'!C361="","",COUNTIF('Deal Tracker'!$C$2:C361,'Deal Tracker'!C361))</f>
        <v/>
      </c>
      <c r="B361" s="0" t="str">
        <f aca="false">IF(A361="","",'Deal Tracker'!C361&amp;"#"&amp;A361)</f>
        <v/>
      </c>
      <c r="C361" s="0" t="str">
        <f aca="false">IF('Deal Tracker'!B361="","",'Deal Tracker'!B361&amp;IF('Deal Tracker'!D361=""," — size TBD"," — $"&amp;TEXT('Deal Tracker'!D361,"#,##0")&amp;"M"))</f>
        <v/>
      </c>
    </row>
    <row r="362" customFormat="false" ht="15" hidden="false" customHeight="false" outlineLevel="0" collapsed="false">
      <c r="A362" s="0" t="str">
        <f aca="false">IF('Deal Tracker'!C362="","",COUNTIF('Deal Tracker'!$C$2:C362,'Deal Tracker'!C362))</f>
        <v/>
      </c>
      <c r="B362" s="0" t="str">
        <f aca="false">IF(A362="","",'Deal Tracker'!C362&amp;"#"&amp;A362)</f>
        <v/>
      </c>
      <c r="C362" s="0" t="str">
        <f aca="false">IF('Deal Tracker'!B362="","",'Deal Tracker'!B362&amp;IF('Deal Tracker'!D362=""," — size TBD"," — $"&amp;TEXT('Deal Tracker'!D362,"#,##0")&amp;"M"))</f>
        <v/>
      </c>
    </row>
    <row r="363" customFormat="false" ht="15" hidden="false" customHeight="false" outlineLevel="0" collapsed="false">
      <c r="A363" s="0" t="str">
        <f aca="false">IF('Deal Tracker'!C363="","",COUNTIF('Deal Tracker'!$C$2:C363,'Deal Tracker'!C363))</f>
        <v/>
      </c>
      <c r="B363" s="0" t="str">
        <f aca="false">IF(A363="","",'Deal Tracker'!C363&amp;"#"&amp;A363)</f>
        <v/>
      </c>
      <c r="C363" s="0" t="str">
        <f aca="false">IF('Deal Tracker'!B363="","",'Deal Tracker'!B363&amp;IF('Deal Tracker'!D363=""," — size TBD"," — $"&amp;TEXT('Deal Tracker'!D363,"#,##0")&amp;"M"))</f>
        <v/>
      </c>
    </row>
    <row r="364" customFormat="false" ht="15" hidden="false" customHeight="false" outlineLevel="0" collapsed="false">
      <c r="A364" s="0" t="str">
        <f aca="false">IF('Deal Tracker'!C364="","",COUNTIF('Deal Tracker'!$C$2:C364,'Deal Tracker'!C364))</f>
        <v/>
      </c>
      <c r="B364" s="0" t="str">
        <f aca="false">IF(A364="","",'Deal Tracker'!C364&amp;"#"&amp;A364)</f>
        <v/>
      </c>
      <c r="C364" s="0" t="str">
        <f aca="false">IF('Deal Tracker'!B364="","",'Deal Tracker'!B364&amp;IF('Deal Tracker'!D364=""," — size TBD"," — $"&amp;TEXT('Deal Tracker'!D364,"#,##0")&amp;"M"))</f>
        <v/>
      </c>
    </row>
    <row r="365" customFormat="false" ht="15" hidden="false" customHeight="false" outlineLevel="0" collapsed="false">
      <c r="A365" s="0" t="str">
        <f aca="false">IF('Deal Tracker'!C365="","",COUNTIF('Deal Tracker'!$C$2:C365,'Deal Tracker'!C365))</f>
        <v/>
      </c>
      <c r="B365" s="0" t="str">
        <f aca="false">IF(A365="","",'Deal Tracker'!C365&amp;"#"&amp;A365)</f>
        <v/>
      </c>
      <c r="C365" s="0" t="str">
        <f aca="false">IF('Deal Tracker'!B365="","",'Deal Tracker'!B365&amp;IF('Deal Tracker'!D365=""," — size TBD"," — $"&amp;TEXT('Deal Tracker'!D365,"#,##0")&amp;"M"))</f>
        <v/>
      </c>
    </row>
    <row r="366" customFormat="false" ht="15" hidden="false" customHeight="false" outlineLevel="0" collapsed="false">
      <c r="A366" s="0" t="str">
        <f aca="false">IF('Deal Tracker'!C366="","",COUNTIF('Deal Tracker'!$C$2:C366,'Deal Tracker'!C366))</f>
        <v/>
      </c>
      <c r="B366" s="0" t="str">
        <f aca="false">IF(A366="","",'Deal Tracker'!C366&amp;"#"&amp;A366)</f>
        <v/>
      </c>
      <c r="C366" s="0" t="str">
        <f aca="false">IF('Deal Tracker'!B366="","",'Deal Tracker'!B366&amp;IF('Deal Tracker'!D366=""," — size TBD"," — $"&amp;TEXT('Deal Tracker'!D366,"#,##0")&amp;"M"))</f>
        <v/>
      </c>
    </row>
    <row r="367" customFormat="false" ht="15" hidden="false" customHeight="false" outlineLevel="0" collapsed="false">
      <c r="A367" s="0" t="str">
        <f aca="false">IF('Deal Tracker'!C367="","",COUNTIF('Deal Tracker'!$C$2:C367,'Deal Tracker'!C367))</f>
        <v/>
      </c>
      <c r="B367" s="0" t="str">
        <f aca="false">IF(A367="","",'Deal Tracker'!C367&amp;"#"&amp;A367)</f>
        <v/>
      </c>
      <c r="C367" s="0" t="str">
        <f aca="false">IF('Deal Tracker'!B367="","",'Deal Tracker'!B367&amp;IF('Deal Tracker'!D367=""," — size TBD"," — $"&amp;TEXT('Deal Tracker'!D367,"#,##0")&amp;"M"))</f>
        <v/>
      </c>
    </row>
    <row r="368" customFormat="false" ht="15" hidden="false" customHeight="false" outlineLevel="0" collapsed="false">
      <c r="A368" s="0" t="str">
        <f aca="false">IF('Deal Tracker'!C368="","",COUNTIF('Deal Tracker'!$C$2:C368,'Deal Tracker'!C368))</f>
        <v/>
      </c>
      <c r="B368" s="0" t="str">
        <f aca="false">IF(A368="","",'Deal Tracker'!C368&amp;"#"&amp;A368)</f>
        <v/>
      </c>
      <c r="C368" s="0" t="str">
        <f aca="false">IF('Deal Tracker'!B368="","",'Deal Tracker'!B368&amp;IF('Deal Tracker'!D368=""," — size TBD"," — $"&amp;TEXT('Deal Tracker'!D368,"#,##0")&amp;"M"))</f>
        <v/>
      </c>
    </row>
    <row r="369" customFormat="false" ht="15" hidden="false" customHeight="false" outlineLevel="0" collapsed="false">
      <c r="A369" s="0" t="str">
        <f aca="false">IF('Deal Tracker'!C369="","",COUNTIF('Deal Tracker'!$C$2:C369,'Deal Tracker'!C369))</f>
        <v/>
      </c>
      <c r="B369" s="0" t="str">
        <f aca="false">IF(A369="","",'Deal Tracker'!C369&amp;"#"&amp;A369)</f>
        <v/>
      </c>
      <c r="C369" s="0" t="str">
        <f aca="false">IF('Deal Tracker'!B369="","",'Deal Tracker'!B369&amp;IF('Deal Tracker'!D369=""," — size TBD"," — $"&amp;TEXT('Deal Tracker'!D369,"#,##0")&amp;"M"))</f>
        <v/>
      </c>
    </row>
    <row r="370" customFormat="false" ht="15" hidden="false" customHeight="false" outlineLevel="0" collapsed="false">
      <c r="A370" s="0" t="str">
        <f aca="false">IF('Deal Tracker'!C370="","",COUNTIF('Deal Tracker'!$C$2:C370,'Deal Tracker'!C370))</f>
        <v/>
      </c>
      <c r="B370" s="0" t="str">
        <f aca="false">IF(A370="","",'Deal Tracker'!C370&amp;"#"&amp;A370)</f>
        <v/>
      </c>
      <c r="C370" s="0" t="str">
        <f aca="false">IF('Deal Tracker'!B370="","",'Deal Tracker'!B370&amp;IF('Deal Tracker'!D370=""," — size TBD"," — $"&amp;TEXT('Deal Tracker'!D370,"#,##0")&amp;"M"))</f>
        <v/>
      </c>
    </row>
    <row r="371" customFormat="false" ht="15" hidden="false" customHeight="false" outlineLevel="0" collapsed="false">
      <c r="A371" s="0" t="str">
        <f aca="false">IF('Deal Tracker'!C371="","",COUNTIF('Deal Tracker'!$C$2:C371,'Deal Tracker'!C371))</f>
        <v/>
      </c>
      <c r="B371" s="0" t="str">
        <f aca="false">IF(A371="","",'Deal Tracker'!C371&amp;"#"&amp;A371)</f>
        <v/>
      </c>
      <c r="C371" s="0" t="str">
        <f aca="false">IF('Deal Tracker'!B371="","",'Deal Tracker'!B371&amp;IF('Deal Tracker'!D371=""," — size TBD"," — $"&amp;TEXT('Deal Tracker'!D371,"#,##0")&amp;"M"))</f>
        <v/>
      </c>
    </row>
    <row r="372" customFormat="false" ht="15" hidden="false" customHeight="false" outlineLevel="0" collapsed="false">
      <c r="A372" s="0" t="str">
        <f aca="false">IF('Deal Tracker'!C372="","",COUNTIF('Deal Tracker'!$C$2:C372,'Deal Tracker'!C372))</f>
        <v/>
      </c>
      <c r="B372" s="0" t="str">
        <f aca="false">IF(A372="","",'Deal Tracker'!C372&amp;"#"&amp;A372)</f>
        <v/>
      </c>
      <c r="C372" s="0" t="str">
        <f aca="false">IF('Deal Tracker'!B372="","",'Deal Tracker'!B372&amp;IF('Deal Tracker'!D372=""," — size TBD"," — $"&amp;TEXT('Deal Tracker'!D372,"#,##0")&amp;"M"))</f>
        <v/>
      </c>
    </row>
    <row r="373" customFormat="false" ht="15" hidden="false" customHeight="false" outlineLevel="0" collapsed="false">
      <c r="A373" s="0" t="str">
        <f aca="false">IF('Deal Tracker'!C373="","",COUNTIF('Deal Tracker'!$C$2:C373,'Deal Tracker'!C373))</f>
        <v/>
      </c>
      <c r="B373" s="0" t="str">
        <f aca="false">IF(A373="","",'Deal Tracker'!C373&amp;"#"&amp;A373)</f>
        <v/>
      </c>
      <c r="C373" s="0" t="str">
        <f aca="false">IF('Deal Tracker'!B373="","",'Deal Tracker'!B373&amp;IF('Deal Tracker'!D373=""," — size TBD"," — $"&amp;TEXT('Deal Tracker'!D373,"#,##0")&amp;"M"))</f>
        <v/>
      </c>
    </row>
    <row r="374" customFormat="false" ht="15" hidden="false" customHeight="false" outlineLevel="0" collapsed="false">
      <c r="A374" s="0" t="str">
        <f aca="false">IF('Deal Tracker'!C374="","",COUNTIF('Deal Tracker'!$C$2:C374,'Deal Tracker'!C374))</f>
        <v/>
      </c>
      <c r="B374" s="0" t="str">
        <f aca="false">IF(A374="","",'Deal Tracker'!C374&amp;"#"&amp;A374)</f>
        <v/>
      </c>
      <c r="C374" s="0" t="str">
        <f aca="false">IF('Deal Tracker'!B374="","",'Deal Tracker'!B374&amp;IF('Deal Tracker'!D374=""," — size TBD"," — $"&amp;TEXT('Deal Tracker'!D374,"#,##0")&amp;"M"))</f>
        <v/>
      </c>
    </row>
    <row r="375" customFormat="false" ht="15" hidden="false" customHeight="false" outlineLevel="0" collapsed="false">
      <c r="A375" s="0" t="str">
        <f aca="false">IF('Deal Tracker'!C375="","",COUNTIF('Deal Tracker'!$C$2:C375,'Deal Tracker'!C375))</f>
        <v/>
      </c>
      <c r="B375" s="0" t="str">
        <f aca="false">IF(A375="","",'Deal Tracker'!C375&amp;"#"&amp;A375)</f>
        <v/>
      </c>
      <c r="C375" s="0" t="str">
        <f aca="false">IF('Deal Tracker'!B375="","",'Deal Tracker'!B375&amp;IF('Deal Tracker'!D375=""," — size TBD"," — $"&amp;TEXT('Deal Tracker'!D375,"#,##0")&amp;"M"))</f>
        <v/>
      </c>
    </row>
    <row r="376" customFormat="false" ht="15" hidden="false" customHeight="false" outlineLevel="0" collapsed="false">
      <c r="A376" s="0" t="str">
        <f aca="false">IF('Deal Tracker'!C376="","",COUNTIF('Deal Tracker'!$C$2:C376,'Deal Tracker'!C376))</f>
        <v/>
      </c>
      <c r="B376" s="0" t="str">
        <f aca="false">IF(A376="","",'Deal Tracker'!C376&amp;"#"&amp;A376)</f>
        <v/>
      </c>
      <c r="C376" s="0" t="str">
        <f aca="false">IF('Deal Tracker'!B376="","",'Deal Tracker'!B376&amp;IF('Deal Tracker'!D376=""," — size TBD"," — $"&amp;TEXT('Deal Tracker'!D376,"#,##0")&amp;"M"))</f>
        <v/>
      </c>
    </row>
    <row r="377" customFormat="false" ht="15" hidden="false" customHeight="false" outlineLevel="0" collapsed="false">
      <c r="A377" s="0" t="str">
        <f aca="false">IF('Deal Tracker'!C377="","",COUNTIF('Deal Tracker'!$C$2:C377,'Deal Tracker'!C377))</f>
        <v/>
      </c>
      <c r="B377" s="0" t="str">
        <f aca="false">IF(A377="","",'Deal Tracker'!C377&amp;"#"&amp;A377)</f>
        <v/>
      </c>
      <c r="C377" s="0" t="str">
        <f aca="false">IF('Deal Tracker'!B377="","",'Deal Tracker'!B377&amp;IF('Deal Tracker'!D377=""," — size TBD"," — $"&amp;TEXT('Deal Tracker'!D377,"#,##0")&amp;"M"))</f>
        <v/>
      </c>
    </row>
    <row r="378" customFormat="false" ht="15" hidden="false" customHeight="false" outlineLevel="0" collapsed="false">
      <c r="A378" s="0" t="str">
        <f aca="false">IF('Deal Tracker'!C378="","",COUNTIF('Deal Tracker'!$C$2:C378,'Deal Tracker'!C378))</f>
        <v/>
      </c>
      <c r="B378" s="0" t="str">
        <f aca="false">IF(A378="","",'Deal Tracker'!C378&amp;"#"&amp;A378)</f>
        <v/>
      </c>
      <c r="C378" s="0" t="str">
        <f aca="false">IF('Deal Tracker'!B378="","",'Deal Tracker'!B378&amp;IF('Deal Tracker'!D378=""," — size TBD"," — $"&amp;TEXT('Deal Tracker'!D378,"#,##0")&amp;"M"))</f>
        <v/>
      </c>
    </row>
    <row r="379" customFormat="false" ht="15" hidden="false" customHeight="false" outlineLevel="0" collapsed="false">
      <c r="A379" s="0" t="str">
        <f aca="false">IF('Deal Tracker'!C379="","",COUNTIF('Deal Tracker'!$C$2:C379,'Deal Tracker'!C379))</f>
        <v/>
      </c>
      <c r="B379" s="0" t="str">
        <f aca="false">IF(A379="","",'Deal Tracker'!C379&amp;"#"&amp;A379)</f>
        <v/>
      </c>
      <c r="C379" s="0" t="str">
        <f aca="false">IF('Deal Tracker'!B379="","",'Deal Tracker'!B379&amp;IF('Deal Tracker'!D379=""," — size TBD"," — $"&amp;TEXT('Deal Tracker'!D379,"#,##0")&amp;"M"))</f>
        <v/>
      </c>
    </row>
    <row r="380" customFormat="false" ht="15" hidden="false" customHeight="false" outlineLevel="0" collapsed="false">
      <c r="A380" s="0" t="str">
        <f aca="false">IF('Deal Tracker'!C380="","",COUNTIF('Deal Tracker'!$C$2:C380,'Deal Tracker'!C380))</f>
        <v/>
      </c>
      <c r="B380" s="0" t="str">
        <f aca="false">IF(A380="","",'Deal Tracker'!C380&amp;"#"&amp;A380)</f>
        <v/>
      </c>
      <c r="C380" s="0" t="str">
        <f aca="false">IF('Deal Tracker'!B380="","",'Deal Tracker'!B380&amp;IF('Deal Tracker'!D380=""," — size TBD"," — $"&amp;TEXT('Deal Tracker'!D380,"#,##0")&amp;"M"))</f>
        <v/>
      </c>
    </row>
    <row r="381" customFormat="false" ht="15" hidden="false" customHeight="false" outlineLevel="0" collapsed="false">
      <c r="A381" s="0" t="str">
        <f aca="false">IF('Deal Tracker'!C381="","",COUNTIF('Deal Tracker'!$C$2:C381,'Deal Tracker'!C381))</f>
        <v/>
      </c>
      <c r="B381" s="0" t="str">
        <f aca="false">IF(A381="","",'Deal Tracker'!C381&amp;"#"&amp;A381)</f>
        <v/>
      </c>
      <c r="C381" s="0" t="str">
        <f aca="false">IF('Deal Tracker'!B381="","",'Deal Tracker'!B381&amp;IF('Deal Tracker'!D381=""," — size TBD"," — $"&amp;TEXT('Deal Tracker'!D381,"#,##0")&amp;"M"))</f>
        <v/>
      </c>
    </row>
    <row r="382" customFormat="false" ht="15" hidden="false" customHeight="false" outlineLevel="0" collapsed="false">
      <c r="A382" s="0" t="str">
        <f aca="false">IF('Deal Tracker'!C382="","",COUNTIF('Deal Tracker'!$C$2:C382,'Deal Tracker'!C382))</f>
        <v/>
      </c>
      <c r="B382" s="0" t="str">
        <f aca="false">IF(A382="","",'Deal Tracker'!C382&amp;"#"&amp;A382)</f>
        <v/>
      </c>
      <c r="C382" s="0" t="str">
        <f aca="false">IF('Deal Tracker'!B382="","",'Deal Tracker'!B382&amp;IF('Deal Tracker'!D382=""," — size TBD"," — $"&amp;TEXT('Deal Tracker'!D382,"#,##0")&amp;"M"))</f>
        <v/>
      </c>
    </row>
    <row r="383" customFormat="false" ht="15" hidden="false" customHeight="false" outlineLevel="0" collapsed="false">
      <c r="A383" s="0" t="str">
        <f aca="false">IF('Deal Tracker'!C383="","",COUNTIF('Deal Tracker'!$C$2:C383,'Deal Tracker'!C383))</f>
        <v/>
      </c>
      <c r="B383" s="0" t="str">
        <f aca="false">IF(A383="","",'Deal Tracker'!C383&amp;"#"&amp;A383)</f>
        <v/>
      </c>
      <c r="C383" s="0" t="str">
        <f aca="false">IF('Deal Tracker'!B383="","",'Deal Tracker'!B383&amp;IF('Deal Tracker'!D383=""," — size TBD"," — $"&amp;TEXT('Deal Tracker'!D383,"#,##0")&amp;"M"))</f>
        <v/>
      </c>
    </row>
    <row r="384" customFormat="false" ht="15" hidden="false" customHeight="false" outlineLevel="0" collapsed="false">
      <c r="A384" s="0" t="str">
        <f aca="false">IF('Deal Tracker'!C384="","",COUNTIF('Deal Tracker'!$C$2:C384,'Deal Tracker'!C384))</f>
        <v/>
      </c>
      <c r="B384" s="0" t="str">
        <f aca="false">IF(A384="","",'Deal Tracker'!C384&amp;"#"&amp;A384)</f>
        <v/>
      </c>
      <c r="C384" s="0" t="str">
        <f aca="false">IF('Deal Tracker'!B384="","",'Deal Tracker'!B384&amp;IF('Deal Tracker'!D384=""," — size TBD"," — $"&amp;TEXT('Deal Tracker'!D384,"#,##0")&amp;"M"))</f>
        <v/>
      </c>
    </row>
    <row r="385" customFormat="false" ht="15" hidden="false" customHeight="false" outlineLevel="0" collapsed="false">
      <c r="A385" s="0" t="str">
        <f aca="false">IF('Deal Tracker'!C385="","",COUNTIF('Deal Tracker'!$C$2:C385,'Deal Tracker'!C385))</f>
        <v/>
      </c>
      <c r="B385" s="0" t="str">
        <f aca="false">IF(A385="","",'Deal Tracker'!C385&amp;"#"&amp;A385)</f>
        <v/>
      </c>
      <c r="C385" s="0" t="str">
        <f aca="false">IF('Deal Tracker'!B385="","",'Deal Tracker'!B385&amp;IF('Deal Tracker'!D385=""," — size TBD"," — $"&amp;TEXT('Deal Tracker'!D385,"#,##0")&amp;"M"))</f>
        <v/>
      </c>
    </row>
    <row r="386" customFormat="false" ht="15" hidden="false" customHeight="false" outlineLevel="0" collapsed="false">
      <c r="A386" s="0" t="str">
        <f aca="false">IF('Deal Tracker'!C386="","",COUNTIF('Deal Tracker'!$C$2:C386,'Deal Tracker'!C386))</f>
        <v/>
      </c>
      <c r="B386" s="0" t="str">
        <f aca="false">IF(A386="","",'Deal Tracker'!C386&amp;"#"&amp;A386)</f>
        <v/>
      </c>
      <c r="C386" s="0" t="str">
        <f aca="false">IF('Deal Tracker'!B386="","",'Deal Tracker'!B386&amp;IF('Deal Tracker'!D386=""," — size TBD"," — $"&amp;TEXT('Deal Tracker'!D386,"#,##0")&amp;"M"))</f>
        <v/>
      </c>
    </row>
    <row r="387" customFormat="false" ht="15" hidden="false" customHeight="false" outlineLevel="0" collapsed="false">
      <c r="A387" s="0" t="str">
        <f aca="false">IF('Deal Tracker'!C387="","",COUNTIF('Deal Tracker'!$C$2:C387,'Deal Tracker'!C387))</f>
        <v/>
      </c>
      <c r="B387" s="0" t="str">
        <f aca="false">IF(A387="","",'Deal Tracker'!C387&amp;"#"&amp;A387)</f>
        <v/>
      </c>
      <c r="C387" s="0" t="str">
        <f aca="false">IF('Deal Tracker'!B387="","",'Deal Tracker'!B387&amp;IF('Deal Tracker'!D387=""," — size TBD"," — $"&amp;TEXT('Deal Tracker'!D387,"#,##0")&amp;"M"))</f>
        <v/>
      </c>
    </row>
    <row r="388" customFormat="false" ht="15" hidden="false" customHeight="false" outlineLevel="0" collapsed="false">
      <c r="A388" s="0" t="str">
        <f aca="false">IF('Deal Tracker'!C388="","",COUNTIF('Deal Tracker'!$C$2:C388,'Deal Tracker'!C388))</f>
        <v/>
      </c>
      <c r="B388" s="0" t="str">
        <f aca="false">IF(A388="","",'Deal Tracker'!C388&amp;"#"&amp;A388)</f>
        <v/>
      </c>
      <c r="C388" s="0" t="str">
        <f aca="false">IF('Deal Tracker'!B388="","",'Deal Tracker'!B388&amp;IF('Deal Tracker'!D388=""," — size TBD"," — $"&amp;TEXT('Deal Tracker'!D388,"#,##0")&amp;"M"))</f>
        <v/>
      </c>
    </row>
    <row r="389" customFormat="false" ht="15" hidden="false" customHeight="false" outlineLevel="0" collapsed="false">
      <c r="A389" s="0" t="str">
        <f aca="false">IF('Deal Tracker'!C389="","",COUNTIF('Deal Tracker'!$C$2:C389,'Deal Tracker'!C389))</f>
        <v/>
      </c>
      <c r="B389" s="0" t="str">
        <f aca="false">IF(A389="","",'Deal Tracker'!C389&amp;"#"&amp;A389)</f>
        <v/>
      </c>
      <c r="C389" s="0" t="str">
        <f aca="false">IF('Deal Tracker'!B389="","",'Deal Tracker'!B389&amp;IF('Deal Tracker'!D389=""," — size TBD"," — $"&amp;TEXT('Deal Tracker'!D389,"#,##0")&amp;"M"))</f>
        <v/>
      </c>
    </row>
    <row r="390" customFormat="false" ht="15" hidden="false" customHeight="false" outlineLevel="0" collapsed="false">
      <c r="A390" s="0" t="str">
        <f aca="false">IF('Deal Tracker'!C390="","",COUNTIF('Deal Tracker'!$C$2:C390,'Deal Tracker'!C390))</f>
        <v/>
      </c>
      <c r="B390" s="0" t="str">
        <f aca="false">IF(A390="","",'Deal Tracker'!C390&amp;"#"&amp;A390)</f>
        <v/>
      </c>
      <c r="C390" s="0" t="str">
        <f aca="false">IF('Deal Tracker'!B390="","",'Deal Tracker'!B390&amp;IF('Deal Tracker'!D390=""," — size TBD"," — $"&amp;TEXT('Deal Tracker'!D390,"#,##0")&amp;"M"))</f>
        <v/>
      </c>
    </row>
    <row r="391" customFormat="false" ht="15" hidden="false" customHeight="false" outlineLevel="0" collapsed="false">
      <c r="A391" s="0" t="str">
        <f aca="false">IF('Deal Tracker'!C391="","",COUNTIF('Deal Tracker'!$C$2:C391,'Deal Tracker'!C391))</f>
        <v/>
      </c>
      <c r="B391" s="0" t="str">
        <f aca="false">IF(A391="","",'Deal Tracker'!C391&amp;"#"&amp;A391)</f>
        <v/>
      </c>
      <c r="C391" s="0" t="str">
        <f aca="false">IF('Deal Tracker'!B391="","",'Deal Tracker'!B391&amp;IF('Deal Tracker'!D391=""," — size TBD"," — $"&amp;TEXT('Deal Tracker'!D391,"#,##0")&amp;"M"))</f>
        <v/>
      </c>
    </row>
    <row r="392" customFormat="false" ht="15" hidden="false" customHeight="false" outlineLevel="0" collapsed="false">
      <c r="A392" s="0" t="str">
        <f aca="false">IF('Deal Tracker'!C392="","",COUNTIF('Deal Tracker'!$C$2:C392,'Deal Tracker'!C392))</f>
        <v/>
      </c>
      <c r="B392" s="0" t="str">
        <f aca="false">IF(A392="","",'Deal Tracker'!C392&amp;"#"&amp;A392)</f>
        <v/>
      </c>
      <c r="C392" s="0" t="str">
        <f aca="false">IF('Deal Tracker'!B392="","",'Deal Tracker'!B392&amp;IF('Deal Tracker'!D392=""," — size TBD"," — $"&amp;TEXT('Deal Tracker'!D392,"#,##0")&amp;"M"))</f>
        <v/>
      </c>
    </row>
    <row r="393" customFormat="false" ht="15" hidden="false" customHeight="false" outlineLevel="0" collapsed="false">
      <c r="A393" s="0" t="str">
        <f aca="false">IF('Deal Tracker'!C393="","",COUNTIF('Deal Tracker'!$C$2:C393,'Deal Tracker'!C393))</f>
        <v/>
      </c>
      <c r="B393" s="0" t="str">
        <f aca="false">IF(A393="","",'Deal Tracker'!C393&amp;"#"&amp;A393)</f>
        <v/>
      </c>
      <c r="C393" s="0" t="str">
        <f aca="false">IF('Deal Tracker'!B393="","",'Deal Tracker'!B393&amp;IF('Deal Tracker'!D393=""," — size TBD"," — $"&amp;TEXT('Deal Tracker'!D393,"#,##0")&amp;"M"))</f>
        <v/>
      </c>
    </row>
    <row r="394" customFormat="false" ht="15" hidden="false" customHeight="false" outlineLevel="0" collapsed="false">
      <c r="A394" s="0" t="str">
        <f aca="false">IF('Deal Tracker'!C394="","",COUNTIF('Deal Tracker'!$C$2:C394,'Deal Tracker'!C394))</f>
        <v/>
      </c>
      <c r="B394" s="0" t="str">
        <f aca="false">IF(A394="","",'Deal Tracker'!C394&amp;"#"&amp;A394)</f>
        <v/>
      </c>
      <c r="C394" s="0" t="str">
        <f aca="false">IF('Deal Tracker'!B394="","",'Deal Tracker'!B394&amp;IF('Deal Tracker'!D394=""," — size TBD"," — $"&amp;TEXT('Deal Tracker'!D394,"#,##0")&amp;"M"))</f>
        <v/>
      </c>
    </row>
    <row r="395" customFormat="false" ht="15" hidden="false" customHeight="false" outlineLevel="0" collapsed="false">
      <c r="A395" s="0" t="str">
        <f aca="false">IF('Deal Tracker'!C395="","",COUNTIF('Deal Tracker'!$C$2:C395,'Deal Tracker'!C395))</f>
        <v/>
      </c>
      <c r="B395" s="0" t="str">
        <f aca="false">IF(A395="","",'Deal Tracker'!C395&amp;"#"&amp;A395)</f>
        <v/>
      </c>
      <c r="C395" s="0" t="str">
        <f aca="false">IF('Deal Tracker'!B395="","",'Deal Tracker'!B395&amp;IF('Deal Tracker'!D395=""," — size TBD"," — $"&amp;TEXT('Deal Tracker'!D395,"#,##0")&amp;"M"))</f>
        <v/>
      </c>
    </row>
    <row r="396" customFormat="false" ht="15" hidden="false" customHeight="false" outlineLevel="0" collapsed="false">
      <c r="A396" s="0" t="str">
        <f aca="false">IF('Deal Tracker'!C396="","",COUNTIF('Deal Tracker'!$C$2:C396,'Deal Tracker'!C396))</f>
        <v/>
      </c>
      <c r="B396" s="0" t="str">
        <f aca="false">IF(A396="","",'Deal Tracker'!C396&amp;"#"&amp;A396)</f>
        <v/>
      </c>
      <c r="C396" s="0" t="str">
        <f aca="false">IF('Deal Tracker'!B396="","",'Deal Tracker'!B396&amp;IF('Deal Tracker'!D396=""," — size TBD"," — $"&amp;TEXT('Deal Tracker'!D396,"#,##0")&amp;"M"))</f>
        <v/>
      </c>
    </row>
    <row r="397" customFormat="false" ht="15" hidden="false" customHeight="false" outlineLevel="0" collapsed="false">
      <c r="A397" s="0" t="str">
        <f aca="false">IF('Deal Tracker'!C397="","",COUNTIF('Deal Tracker'!$C$2:C397,'Deal Tracker'!C397))</f>
        <v/>
      </c>
      <c r="B397" s="0" t="str">
        <f aca="false">IF(A397="","",'Deal Tracker'!C397&amp;"#"&amp;A397)</f>
        <v/>
      </c>
      <c r="C397" s="0" t="str">
        <f aca="false">IF('Deal Tracker'!B397="","",'Deal Tracker'!B397&amp;IF('Deal Tracker'!D397=""," — size TBD"," — $"&amp;TEXT('Deal Tracker'!D397,"#,##0")&amp;"M"))</f>
        <v/>
      </c>
    </row>
    <row r="398" customFormat="false" ht="15" hidden="false" customHeight="false" outlineLevel="0" collapsed="false">
      <c r="A398" s="0" t="str">
        <f aca="false">IF('Deal Tracker'!C398="","",COUNTIF('Deal Tracker'!$C$2:C398,'Deal Tracker'!C398))</f>
        <v/>
      </c>
      <c r="B398" s="0" t="str">
        <f aca="false">IF(A398="","",'Deal Tracker'!C398&amp;"#"&amp;A398)</f>
        <v/>
      </c>
      <c r="C398" s="0" t="str">
        <f aca="false">IF('Deal Tracker'!B398="","",'Deal Tracker'!B398&amp;IF('Deal Tracker'!D398=""," — size TBD"," — $"&amp;TEXT('Deal Tracker'!D398,"#,##0")&amp;"M"))</f>
        <v/>
      </c>
    </row>
    <row r="399" customFormat="false" ht="15" hidden="false" customHeight="false" outlineLevel="0" collapsed="false">
      <c r="A399" s="0" t="str">
        <f aca="false">IF('Deal Tracker'!C399="","",COUNTIF('Deal Tracker'!$C$2:C399,'Deal Tracker'!C399))</f>
        <v/>
      </c>
      <c r="B399" s="0" t="str">
        <f aca="false">IF(A399="","",'Deal Tracker'!C399&amp;"#"&amp;A399)</f>
        <v/>
      </c>
      <c r="C399" s="0" t="str">
        <f aca="false">IF('Deal Tracker'!B399="","",'Deal Tracker'!B399&amp;IF('Deal Tracker'!D399=""," — size TBD"," — $"&amp;TEXT('Deal Tracker'!D399,"#,##0")&amp;"M"))</f>
        <v/>
      </c>
    </row>
    <row r="400" customFormat="false" ht="15" hidden="false" customHeight="false" outlineLevel="0" collapsed="false">
      <c r="A400" s="0" t="str">
        <f aca="false">IF('Deal Tracker'!C400="","",COUNTIF('Deal Tracker'!$C$2:C400,'Deal Tracker'!C400))</f>
        <v/>
      </c>
      <c r="B400" s="0" t="str">
        <f aca="false">IF(A400="","",'Deal Tracker'!C400&amp;"#"&amp;A400)</f>
        <v/>
      </c>
      <c r="C400" s="0" t="str">
        <f aca="false">IF('Deal Tracker'!B400="","",'Deal Tracker'!B400&amp;IF('Deal Tracker'!D400=""," — size TBD"," — $"&amp;TEXT('Deal Tracker'!D400,"#,##0")&amp;"M"))</f>
        <v/>
      </c>
    </row>
    <row r="401" customFormat="false" ht="15" hidden="false" customHeight="false" outlineLevel="0" collapsed="false">
      <c r="A401" s="0" t="str">
        <f aca="false">IF('Deal Tracker'!C401="","",COUNTIF('Deal Tracker'!$C$2:C401,'Deal Tracker'!C401))</f>
        <v/>
      </c>
      <c r="B401" s="0" t="str">
        <f aca="false">IF(A401="","",'Deal Tracker'!C401&amp;"#"&amp;A401)</f>
        <v/>
      </c>
      <c r="C401" s="0" t="str">
        <f aca="false">IF('Deal Tracker'!B401="","",'Deal Tracker'!B401&amp;IF('Deal Tracker'!D401=""," — size TBD"," — $"&amp;TEXT('Deal Tracker'!D401,"#,##0")&amp;"M"))</f>
        <v/>
      </c>
    </row>
    <row r="402" customFormat="false" ht="15" hidden="false" customHeight="false" outlineLevel="0" collapsed="false">
      <c r="A402" s="0" t="str">
        <f aca="false">IF('Deal Tracker'!C402="","",COUNTIF('Deal Tracker'!$C$2:C402,'Deal Tracker'!C402))</f>
        <v/>
      </c>
      <c r="B402" s="0" t="str">
        <f aca="false">IF(A402="","",'Deal Tracker'!C402&amp;"#"&amp;A402)</f>
        <v/>
      </c>
      <c r="C402" s="0" t="str">
        <f aca="false">IF('Deal Tracker'!B402="","",'Deal Tracker'!B402&amp;IF('Deal Tracker'!D402=""," — size TBD"," — $"&amp;TEXT('Deal Tracker'!D402,"#,##0")&amp;"M"))</f>
        <v/>
      </c>
    </row>
    <row r="403" customFormat="false" ht="15" hidden="false" customHeight="false" outlineLevel="0" collapsed="false">
      <c r="A403" s="0" t="str">
        <f aca="false">IF('Deal Tracker'!C403="","",COUNTIF('Deal Tracker'!$C$2:C403,'Deal Tracker'!C403))</f>
        <v/>
      </c>
      <c r="B403" s="0" t="str">
        <f aca="false">IF(A403="","",'Deal Tracker'!C403&amp;"#"&amp;A403)</f>
        <v/>
      </c>
      <c r="C403" s="0" t="str">
        <f aca="false">IF('Deal Tracker'!B403="","",'Deal Tracker'!B403&amp;IF('Deal Tracker'!D403=""," — size TBD"," — $"&amp;TEXT('Deal Tracker'!D403,"#,##0")&amp;"M"))</f>
        <v/>
      </c>
    </row>
    <row r="404" customFormat="false" ht="15" hidden="false" customHeight="false" outlineLevel="0" collapsed="false">
      <c r="A404" s="0" t="str">
        <f aca="false">IF('Deal Tracker'!C404="","",COUNTIF('Deal Tracker'!$C$2:C404,'Deal Tracker'!C404))</f>
        <v/>
      </c>
      <c r="B404" s="0" t="str">
        <f aca="false">IF(A404="","",'Deal Tracker'!C404&amp;"#"&amp;A404)</f>
        <v/>
      </c>
      <c r="C404" s="0" t="str">
        <f aca="false">IF('Deal Tracker'!B404="","",'Deal Tracker'!B404&amp;IF('Deal Tracker'!D404=""," — size TBD"," — $"&amp;TEXT('Deal Tracker'!D404,"#,##0")&amp;"M"))</f>
        <v/>
      </c>
    </row>
    <row r="405" customFormat="false" ht="15" hidden="false" customHeight="false" outlineLevel="0" collapsed="false">
      <c r="A405" s="0" t="str">
        <f aca="false">IF('Deal Tracker'!C405="","",COUNTIF('Deal Tracker'!$C$2:C405,'Deal Tracker'!C405))</f>
        <v/>
      </c>
      <c r="B405" s="0" t="str">
        <f aca="false">IF(A405="","",'Deal Tracker'!C405&amp;"#"&amp;A405)</f>
        <v/>
      </c>
      <c r="C405" s="0" t="str">
        <f aca="false">IF('Deal Tracker'!B405="","",'Deal Tracker'!B405&amp;IF('Deal Tracker'!D405=""," — size TBD"," — $"&amp;TEXT('Deal Tracker'!D405,"#,##0")&amp;"M"))</f>
        <v/>
      </c>
    </row>
    <row r="406" customFormat="false" ht="15" hidden="false" customHeight="false" outlineLevel="0" collapsed="false">
      <c r="A406" s="0" t="str">
        <f aca="false">IF('Deal Tracker'!C406="","",COUNTIF('Deal Tracker'!$C$2:C406,'Deal Tracker'!C406))</f>
        <v/>
      </c>
      <c r="B406" s="0" t="str">
        <f aca="false">IF(A406="","",'Deal Tracker'!C406&amp;"#"&amp;A406)</f>
        <v/>
      </c>
      <c r="C406" s="0" t="str">
        <f aca="false">IF('Deal Tracker'!B406="","",'Deal Tracker'!B406&amp;IF('Deal Tracker'!D406=""," — size TBD"," — $"&amp;TEXT('Deal Tracker'!D406,"#,##0")&amp;"M"))</f>
        <v/>
      </c>
    </row>
    <row r="407" customFormat="false" ht="15" hidden="false" customHeight="false" outlineLevel="0" collapsed="false">
      <c r="A407" s="0" t="str">
        <f aca="false">IF('Deal Tracker'!C407="","",COUNTIF('Deal Tracker'!$C$2:C407,'Deal Tracker'!C407))</f>
        <v/>
      </c>
      <c r="B407" s="0" t="str">
        <f aca="false">IF(A407="","",'Deal Tracker'!C407&amp;"#"&amp;A407)</f>
        <v/>
      </c>
      <c r="C407" s="0" t="str">
        <f aca="false">IF('Deal Tracker'!B407="","",'Deal Tracker'!B407&amp;IF('Deal Tracker'!D407=""," — size TBD"," — $"&amp;TEXT('Deal Tracker'!D407,"#,##0")&amp;"M"))</f>
        <v/>
      </c>
    </row>
    <row r="408" customFormat="false" ht="15" hidden="false" customHeight="false" outlineLevel="0" collapsed="false">
      <c r="A408" s="0" t="str">
        <f aca="false">IF('Deal Tracker'!C408="","",COUNTIF('Deal Tracker'!$C$2:C408,'Deal Tracker'!C408))</f>
        <v/>
      </c>
      <c r="B408" s="0" t="str">
        <f aca="false">IF(A408="","",'Deal Tracker'!C408&amp;"#"&amp;A408)</f>
        <v/>
      </c>
      <c r="C408" s="0" t="str">
        <f aca="false">IF('Deal Tracker'!B408="","",'Deal Tracker'!B408&amp;IF('Deal Tracker'!D408=""," — size TBD"," — $"&amp;TEXT('Deal Tracker'!D408,"#,##0")&amp;"M"))</f>
        <v/>
      </c>
    </row>
    <row r="409" customFormat="false" ht="15" hidden="false" customHeight="false" outlineLevel="0" collapsed="false">
      <c r="A409" s="0" t="str">
        <f aca="false">IF('Deal Tracker'!C409="","",COUNTIF('Deal Tracker'!$C$2:C409,'Deal Tracker'!C409))</f>
        <v/>
      </c>
      <c r="B409" s="0" t="str">
        <f aca="false">IF(A409="","",'Deal Tracker'!C409&amp;"#"&amp;A409)</f>
        <v/>
      </c>
      <c r="C409" s="0" t="str">
        <f aca="false">IF('Deal Tracker'!B409="","",'Deal Tracker'!B409&amp;IF('Deal Tracker'!D409=""," — size TBD"," — $"&amp;TEXT('Deal Tracker'!D409,"#,##0")&amp;"M"))</f>
        <v/>
      </c>
    </row>
    <row r="410" customFormat="false" ht="15" hidden="false" customHeight="false" outlineLevel="0" collapsed="false">
      <c r="A410" s="0" t="str">
        <f aca="false">IF('Deal Tracker'!C410="","",COUNTIF('Deal Tracker'!$C$2:C410,'Deal Tracker'!C410))</f>
        <v/>
      </c>
      <c r="B410" s="0" t="str">
        <f aca="false">IF(A410="","",'Deal Tracker'!C410&amp;"#"&amp;A410)</f>
        <v/>
      </c>
      <c r="C410" s="0" t="str">
        <f aca="false">IF('Deal Tracker'!B410="","",'Deal Tracker'!B410&amp;IF('Deal Tracker'!D410=""," — size TBD"," — $"&amp;TEXT('Deal Tracker'!D410,"#,##0")&amp;"M"))</f>
        <v/>
      </c>
    </row>
    <row r="411" customFormat="false" ht="15" hidden="false" customHeight="false" outlineLevel="0" collapsed="false">
      <c r="A411" s="0" t="str">
        <f aca="false">IF('Deal Tracker'!C411="","",COUNTIF('Deal Tracker'!$C$2:C411,'Deal Tracker'!C411))</f>
        <v/>
      </c>
      <c r="B411" s="0" t="str">
        <f aca="false">IF(A411="","",'Deal Tracker'!C411&amp;"#"&amp;A411)</f>
        <v/>
      </c>
      <c r="C411" s="0" t="str">
        <f aca="false">IF('Deal Tracker'!B411="","",'Deal Tracker'!B411&amp;IF('Deal Tracker'!D411=""," — size TBD"," — $"&amp;TEXT('Deal Tracker'!D411,"#,##0")&amp;"M"))</f>
        <v/>
      </c>
    </row>
    <row r="412" customFormat="false" ht="15" hidden="false" customHeight="false" outlineLevel="0" collapsed="false">
      <c r="A412" s="0" t="str">
        <f aca="false">IF('Deal Tracker'!C412="","",COUNTIF('Deal Tracker'!$C$2:C412,'Deal Tracker'!C412))</f>
        <v/>
      </c>
      <c r="B412" s="0" t="str">
        <f aca="false">IF(A412="","",'Deal Tracker'!C412&amp;"#"&amp;A412)</f>
        <v/>
      </c>
      <c r="C412" s="0" t="str">
        <f aca="false">IF('Deal Tracker'!B412="","",'Deal Tracker'!B412&amp;IF('Deal Tracker'!D412=""," — size TBD"," — $"&amp;TEXT('Deal Tracker'!D412,"#,##0")&amp;"M"))</f>
        <v/>
      </c>
    </row>
    <row r="413" customFormat="false" ht="15" hidden="false" customHeight="false" outlineLevel="0" collapsed="false">
      <c r="A413" s="0" t="str">
        <f aca="false">IF('Deal Tracker'!C413="","",COUNTIF('Deal Tracker'!$C$2:C413,'Deal Tracker'!C413))</f>
        <v/>
      </c>
      <c r="B413" s="0" t="str">
        <f aca="false">IF(A413="","",'Deal Tracker'!C413&amp;"#"&amp;A413)</f>
        <v/>
      </c>
      <c r="C413" s="0" t="str">
        <f aca="false">IF('Deal Tracker'!B413="","",'Deal Tracker'!B413&amp;IF('Deal Tracker'!D413=""," — size TBD"," — $"&amp;TEXT('Deal Tracker'!D413,"#,##0")&amp;"M"))</f>
        <v/>
      </c>
    </row>
    <row r="414" customFormat="false" ht="15" hidden="false" customHeight="false" outlineLevel="0" collapsed="false">
      <c r="A414" s="0" t="str">
        <f aca="false">IF('Deal Tracker'!C414="","",COUNTIF('Deal Tracker'!$C$2:C414,'Deal Tracker'!C414))</f>
        <v/>
      </c>
      <c r="B414" s="0" t="str">
        <f aca="false">IF(A414="","",'Deal Tracker'!C414&amp;"#"&amp;A414)</f>
        <v/>
      </c>
      <c r="C414" s="0" t="str">
        <f aca="false">IF('Deal Tracker'!B414="","",'Deal Tracker'!B414&amp;IF('Deal Tracker'!D414=""," — size TBD"," — $"&amp;TEXT('Deal Tracker'!D414,"#,##0")&amp;"M"))</f>
        <v/>
      </c>
    </row>
    <row r="415" customFormat="false" ht="15" hidden="false" customHeight="false" outlineLevel="0" collapsed="false">
      <c r="A415" s="0" t="str">
        <f aca="false">IF('Deal Tracker'!C415="","",COUNTIF('Deal Tracker'!$C$2:C415,'Deal Tracker'!C415))</f>
        <v/>
      </c>
      <c r="B415" s="0" t="str">
        <f aca="false">IF(A415="","",'Deal Tracker'!C415&amp;"#"&amp;A415)</f>
        <v/>
      </c>
      <c r="C415" s="0" t="str">
        <f aca="false">IF('Deal Tracker'!B415="","",'Deal Tracker'!B415&amp;IF('Deal Tracker'!D415=""," — size TBD"," — $"&amp;TEXT('Deal Tracker'!D415,"#,##0")&amp;"M"))</f>
        <v/>
      </c>
    </row>
    <row r="416" customFormat="false" ht="15" hidden="false" customHeight="false" outlineLevel="0" collapsed="false">
      <c r="A416" s="0" t="str">
        <f aca="false">IF('Deal Tracker'!C416="","",COUNTIF('Deal Tracker'!$C$2:C416,'Deal Tracker'!C416))</f>
        <v/>
      </c>
      <c r="B416" s="0" t="str">
        <f aca="false">IF(A416="","",'Deal Tracker'!C416&amp;"#"&amp;A416)</f>
        <v/>
      </c>
      <c r="C416" s="0" t="str">
        <f aca="false">IF('Deal Tracker'!B416="","",'Deal Tracker'!B416&amp;IF('Deal Tracker'!D416=""," — size TBD"," — $"&amp;TEXT('Deal Tracker'!D416,"#,##0")&amp;"M"))</f>
        <v/>
      </c>
    </row>
    <row r="417" customFormat="false" ht="15" hidden="false" customHeight="false" outlineLevel="0" collapsed="false">
      <c r="A417" s="0" t="str">
        <f aca="false">IF('Deal Tracker'!C417="","",COUNTIF('Deal Tracker'!$C$2:C417,'Deal Tracker'!C417))</f>
        <v/>
      </c>
      <c r="B417" s="0" t="str">
        <f aca="false">IF(A417="","",'Deal Tracker'!C417&amp;"#"&amp;A417)</f>
        <v/>
      </c>
      <c r="C417" s="0" t="str">
        <f aca="false">IF('Deal Tracker'!B417="","",'Deal Tracker'!B417&amp;IF('Deal Tracker'!D417=""," — size TBD"," — $"&amp;TEXT('Deal Tracker'!D417,"#,##0")&amp;"M"))</f>
        <v/>
      </c>
    </row>
    <row r="418" customFormat="false" ht="15" hidden="false" customHeight="false" outlineLevel="0" collapsed="false">
      <c r="A418" s="0" t="str">
        <f aca="false">IF('Deal Tracker'!C418="","",COUNTIF('Deal Tracker'!$C$2:C418,'Deal Tracker'!C418))</f>
        <v/>
      </c>
      <c r="B418" s="0" t="str">
        <f aca="false">IF(A418="","",'Deal Tracker'!C418&amp;"#"&amp;A418)</f>
        <v/>
      </c>
      <c r="C418" s="0" t="str">
        <f aca="false">IF('Deal Tracker'!B418="","",'Deal Tracker'!B418&amp;IF('Deal Tracker'!D418=""," — size TBD"," — $"&amp;TEXT('Deal Tracker'!D418,"#,##0")&amp;"M"))</f>
        <v/>
      </c>
    </row>
    <row r="419" customFormat="false" ht="15" hidden="false" customHeight="false" outlineLevel="0" collapsed="false">
      <c r="A419" s="0" t="str">
        <f aca="false">IF('Deal Tracker'!C419="","",COUNTIF('Deal Tracker'!$C$2:C419,'Deal Tracker'!C419))</f>
        <v/>
      </c>
      <c r="B419" s="0" t="str">
        <f aca="false">IF(A419="","",'Deal Tracker'!C419&amp;"#"&amp;A419)</f>
        <v/>
      </c>
      <c r="C419" s="0" t="str">
        <f aca="false">IF('Deal Tracker'!B419="","",'Deal Tracker'!B419&amp;IF('Deal Tracker'!D419=""," — size TBD"," — $"&amp;TEXT('Deal Tracker'!D419,"#,##0")&amp;"M"))</f>
        <v/>
      </c>
    </row>
    <row r="420" customFormat="false" ht="15" hidden="false" customHeight="false" outlineLevel="0" collapsed="false">
      <c r="A420" s="0" t="str">
        <f aca="false">IF('Deal Tracker'!C420="","",COUNTIF('Deal Tracker'!$C$2:C420,'Deal Tracker'!C420))</f>
        <v/>
      </c>
      <c r="B420" s="0" t="str">
        <f aca="false">IF(A420="","",'Deal Tracker'!C420&amp;"#"&amp;A420)</f>
        <v/>
      </c>
      <c r="C420" s="0" t="str">
        <f aca="false">IF('Deal Tracker'!B420="","",'Deal Tracker'!B420&amp;IF('Deal Tracker'!D420=""," — size TBD"," — $"&amp;TEXT('Deal Tracker'!D420,"#,##0")&amp;"M"))</f>
        <v/>
      </c>
    </row>
    <row r="421" customFormat="false" ht="15" hidden="false" customHeight="false" outlineLevel="0" collapsed="false">
      <c r="A421" s="0" t="str">
        <f aca="false">IF('Deal Tracker'!C421="","",COUNTIF('Deal Tracker'!$C$2:C421,'Deal Tracker'!C421))</f>
        <v/>
      </c>
      <c r="B421" s="0" t="str">
        <f aca="false">IF(A421="","",'Deal Tracker'!C421&amp;"#"&amp;A421)</f>
        <v/>
      </c>
      <c r="C421" s="0" t="str">
        <f aca="false">IF('Deal Tracker'!B421="","",'Deal Tracker'!B421&amp;IF('Deal Tracker'!D421=""," — size TBD"," — $"&amp;TEXT('Deal Tracker'!D421,"#,##0")&amp;"M"))</f>
        <v/>
      </c>
    </row>
    <row r="422" customFormat="false" ht="15" hidden="false" customHeight="false" outlineLevel="0" collapsed="false">
      <c r="A422" s="0" t="str">
        <f aca="false">IF('Deal Tracker'!C422="","",COUNTIF('Deal Tracker'!$C$2:C422,'Deal Tracker'!C422))</f>
        <v/>
      </c>
      <c r="B422" s="0" t="str">
        <f aca="false">IF(A422="","",'Deal Tracker'!C422&amp;"#"&amp;A422)</f>
        <v/>
      </c>
      <c r="C422" s="0" t="str">
        <f aca="false">IF('Deal Tracker'!B422="","",'Deal Tracker'!B422&amp;IF('Deal Tracker'!D422=""," — size TBD"," — $"&amp;TEXT('Deal Tracker'!D422,"#,##0")&amp;"M"))</f>
        <v/>
      </c>
    </row>
    <row r="423" customFormat="false" ht="15" hidden="false" customHeight="false" outlineLevel="0" collapsed="false">
      <c r="A423" s="0" t="str">
        <f aca="false">IF('Deal Tracker'!C423="","",COUNTIF('Deal Tracker'!$C$2:C423,'Deal Tracker'!C423))</f>
        <v/>
      </c>
      <c r="B423" s="0" t="str">
        <f aca="false">IF(A423="","",'Deal Tracker'!C423&amp;"#"&amp;A423)</f>
        <v/>
      </c>
      <c r="C423" s="0" t="str">
        <f aca="false">IF('Deal Tracker'!B423="","",'Deal Tracker'!B423&amp;IF('Deal Tracker'!D423=""," — size TBD"," — $"&amp;TEXT('Deal Tracker'!D423,"#,##0")&amp;"M"))</f>
        <v/>
      </c>
    </row>
    <row r="424" customFormat="false" ht="15" hidden="false" customHeight="false" outlineLevel="0" collapsed="false">
      <c r="A424" s="0" t="str">
        <f aca="false">IF('Deal Tracker'!C424="","",COUNTIF('Deal Tracker'!$C$2:C424,'Deal Tracker'!C424))</f>
        <v/>
      </c>
      <c r="B424" s="0" t="str">
        <f aca="false">IF(A424="","",'Deal Tracker'!C424&amp;"#"&amp;A424)</f>
        <v/>
      </c>
      <c r="C424" s="0" t="str">
        <f aca="false">IF('Deal Tracker'!B424="","",'Deal Tracker'!B424&amp;IF('Deal Tracker'!D424=""," — size TBD"," — $"&amp;TEXT('Deal Tracker'!D424,"#,##0")&amp;"M"))</f>
        <v/>
      </c>
    </row>
    <row r="425" customFormat="false" ht="15" hidden="false" customHeight="false" outlineLevel="0" collapsed="false">
      <c r="A425" s="0" t="str">
        <f aca="false">IF('Deal Tracker'!C425="","",COUNTIF('Deal Tracker'!$C$2:C425,'Deal Tracker'!C425))</f>
        <v/>
      </c>
      <c r="B425" s="0" t="str">
        <f aca="false">IF(A425="","",'Deal Tracker'!C425&amp;"#"&amp;A425)</f>
        <v/>
      </c>
      <c r="C425" s="0" t="str">
        <f aca="false">IF('Deal Tracker'!B425="","",'Deal Tracker'!B425&amp;IF('Deal Tracker'!D425=""," — size TBD"," — $"&amp;TEXT('Deal Tracker'!D425,"#,##0")&amp;"M"))</f>
        <v/>
      </c>
    </row>
    <row r="426" customFormat="false" ht="15" hidden="false" customHeight="false" outlineLevel="0" collapsed="false">
      <c r="A426" s="0" t="str">
        <f aca="false">IF('Deal Tracker'!C426="","",COUNTIF('Deal Tracker'!$C$2:C426,'Deal Tracker'!C426))</f>
        <v/>
      </c>
      <c r="B426" s="0" t="str">
        <f aca="false">IF(A426="","",'Deal Tracker'!C426&amp;"#"&amp;A426)</f>
        <v/>
      </c>
      <c r="C426" s="0" t="str">
        <f aca="false">IF('Deal Tracker'!B426="","",'Deal Tracker'!B426&amp;IF('Deal Tracker'!D426=""," — size TBD"," — $"&amp;TEXT('Deal Tracker'!D426,"#,##0")&amp;"M"))</f>
        <v/>
      </c>
    </row>
    <row r="427" customFormat="false" ht="15" hidden="false" customHeight="false" outlineLevel="0" collapsed="false">
      <c r="A427" s="0" t="str">
        <f aca="false">IF('Deal Tracker'!C427="","",COUNTIF('Deal Tracker'!$C$2:C427,'Deal Tracker'!C427))</f>
        <v/>
      </c>
      <c r="B427" s="0" t="str">
        <f aca="false">IF(A427="","",'Deal Tracker'!C427&amp;"#"&amp;A427)</f>
        <v/>
      </c>
      <c r="C427" s="0" t="str">
        <f aca="false">IF('Deal Tracker'!B427="","",'Deal Tracker'!B427&amp;IF('Deal Tracker'!D427=""," — size TBD"," — $"&amp;TEXT('Deal Tracker'!D427,"#,##0")&amp;"M"))</f>
        <v/>
      </c>
    </row>
    <row r="428" customFormat="false" ht="15" hidden="false" customHeight="false" outlineLevel="0" collapsed="false">
      <c r="A428" s="0" t="str">
        <f aca="false">IF('Deal Tracker'!C428="","",COUNTIF('Deal Tracker'!$C$2:C428,'Deal Tracker'!C428))</f>
        <v/>
      </c>
      <c r="B428" s="0" t="str">
        <f aca="false">IF(A428="","",'Deal Tracker'!C428&amp;"#"&amp;A428)</f>
        <v/>
      </c>
      <c r="C428" s="0" t="str">
        <f aca="false">IF('Deal Tracker'!B428="","",'Deal Tracker'!B428&amp;IF('Deal Tracker'!D428=""," — size TBD"," — $"&amp;TEXT('Deal Tracker'!D428,"#,##0")&amp;"M"))</f>
        <v/>
      </c>
    </row>
    <row r="429" customFormat="false" ht="15" hidden="false" customHeight="false" outlineLevel="0" collapsed="false">
      <c r="A429" s="0" t="str">
        <f aca="false">IF('Deal Tracker'!C429="","",COUNTIF('Deal Tracker'!$C$2:C429,'Deal Tracker'!C429))</f>
        <v/>
      </c>
      <c r="B429" s="0" t="str">
        <f aca="false">IF(A429="","",'Deal Tracker'!C429&amp;"#"&amp;A429)</f>
        <v/>
      </c>
      <c r="C429" s="0" t="str">
        <f aca="false">IF('Deal Tracker'!B429="","",'Deal Tracker'!B429&amp;IF('Deal Tracker'!D429=""," — size TBD"," — $"&amp;TEXT('Deal Tracker'!D429,"#,##0")&amp;"M"))</f>
        <v/>
      </c>
    </row>
    <row r="430" customFormat="false" ht="15" hidden="false" customHeight="false" outlineLevel="0" collapsed="false">
      <c r="A430" s="0" t="str">
        <f aca="false">IF('Deal Tracker'!C430="","",COUNTIF('Deal Tracker'!$C$2:C430,'Deal Tracker'!C430))</f>
        <v/>
      </c>
      <c r="B430" s="0" t="str">
        <f aca="false">IF(A430="","",'Deal Tracker'!C430&amp;"#"&amp;A430)</f>
        <v/>
      </c>
      <c r="C430" s="0" t="str">
        <f aca="false">IF('Deal Tracker'!B430="","",'Deal Tracker'!B430&amp;IF('Deal Tracker'!D430=""," — size TBD"," — $"&amp;TEXT('Deal Tracker'!D430,"#,##0")&amp;"M"))</f>
        <v/>
      </c>
    </row>
    <row r="431" customFormat="false" ht="15" hidden="false" customHeight="false" outlineLevel="0" collapsed="false">
      <c r="A431" s="0" t="str">
        <f aca="false">IF('Deal Tracker'!C431="","",COUNTIF('Deal Tracker'!$C$2:C431,'Deal Tracker'!C431))</f>
        <v/>
      </c>
      <c r="B431" s="0" t="str">
        <f aca="false">IF(A431="","",'Deal Tracker'!C431&amp;"#"&amp;A431)</f>
        <v/>
      </c>
      <c r="C431" s="0" t="str">
        <f aca="false">IF('Deal Tracker'!B431="","",'Deal Tracker'!B431&amp;IF('Deal Tracker'!D431=""," — size TBD"," — $"&amp;TEXT('Deal Tracker'!D431,"#,##0")&amp;"M"))</f>
        <v/>
      </c>
    </row>
    <row r="432" customFormat="false" ht="15" hidden="false" customHeight="false" outlineLevel="0" collapsed="false">
      <c r="A432" s="0" t="str">
        <f aca="false">IF('Deal Tracker'!C432="","",COUNTIF('Deal Tracker'!$C$2:C432,'Deal Tracker'!C432))</f>
        <v/>
      </c>
      <c r="B432" s="0" t="str">
        <f aca="false">IF(A432="","",'Deal Tracker'!C432&amp;"#"&amp;A432)</f>
        <v/>
      </c>
      <c r="C432" s="0" t="str">
        <f aca="false">IF('Deal Tracker'!B432="","",'Deal Tracker'!B432&amp;IF('Deal Tracker'!D432=""," — size TBD"," — $"&amp;TEXT('Deal Tracker'!D432,"#,##0")&amp;"M"))</f>
        <v/>
      </c>
    </row>
    <row r="433" customFormat="false" ht="15" hidden="false" customHeight="false" outlineLevel="0" collapsed="false">
      <c r="A433" s="0" t="str">
        <f aca="false">IF('Deal Tracker'!C433="","",COUNTIF('Deal Tracker'!$C$2:C433,'Deal Tracker'!C433))</f>
        <v/>
      </c>
      <c r="B433" s="0" t="str">
        <f aca="false">IF(A433="","",'Deal Tracker'!C433&amp;"#"&amp;A433)</f>
        <v/>
      </c>
      <c r="C433" s="0" t="str">
        <f aca="false">IF('Deal Tracker'!B433="","",'Deal Tracker'!B433&amp;IF('Deal Tracker'!D433=""," — size TBD"," — $"&amp;TEXT('Deal Tracker'!D433,"#,##0")&amp;"M"))</f>
        <v/>
      </c>
    </row>
    <row r="434" customFormat="false" ht="15" hidden="false" customHeight="false" outlineLevel="0" collapsed="false">
      <c r="A434" s="0" t="str">
        <f aca="false">IF('Deal Tracker'!C434="","",COUNTIF('Deal Tracker'!$C$2:C434,'Deal Tracker'!C434))</f>
        <v/>
      </c>
      <c r="B434" s="0" t="str">
        <f aca="false">IF(A434="","",'Deal Tracker'!C434&amp;"#"&amp;A434)</f>
        <v/>
      </c>
      <c r="C434" s="0" t="str">
        <f aca="false">IF('Deal Tracker'!B434="","",'Deal Tracker'!B434&amp;IF('Deal Tracker'!D434=""," — size TBD"," — $"&amp;TEXT('Deal Tracker'!D434,"#,##0")&amp;"M"))</f>
        <v/>
      </c>
    </row>
    <row r="435" customFormat="false" ht="15" hidden="false" customHeight="false" outlineLevel="0" collapsed="false">
      <c r="A435" s="0" t="str">
        <f aca="false">IF('Deal Tracker'!C435="","",COUNTIF('Deal Tracker'!$C$2:C435,'Deal Tracker'!C435))</f>
        <v/>
      </c>
      <c r="B435" s="0" t="str">
        <f aca="false">IF(A435="","",'Deal Tracker'!C435&amp;"#"&amp;A435)</f>
        <v/>
      </c>
      <c r="C435" s="0" t="str">
        <f aca="false">IF('Deal Tracker'!B435="","",'Deal Tracker'!B435&amp;IF('Deal Tracker'!D435=""," — size TBD"," — $"&amp;TEXT('Deal Tracker'!D435,"#,##0")&amp;"M"))</f>
        <v/>
      </c>
    </row>
    <row r="436" customFormat="false" ht="15" hidden="false" customHeight="false" outlineLevel="0" collapsed="false">
      <c r="A436" s="0" t="str">
        <f aca="false">IF('Deal Tracker'!C436="","",COUNTIF('Deal Tracker'!$C$2:C436,'Deal Tracker'!C436))</f>
        <v/>
      </c>
      <c r="B436" s="0" t="str">
        <f aca="false">IF(A436="","",'Deal Tracker'!C436&amp;"#"&amp;A436)</f>
        <v/>
      </c>
      <c r="C436" s="0" t="str">
        <f aca="false">IF('Deal Tracker'!B436="","",'Deal Tracker'!B436&amp;IF('Deal Tracker'!D436=""," — size TBD"," — $"&amp;TEXT('Deal Tracker'!D436,"#,##0")&amp;"M"))</f>
        <v/>
      </c>
    </row>
    <row r="437" customFormat="false" ht="15" hidden="false" customHeight="false" outlineLevel="0" collapsed="false">
      <c r="A437" s="0" t="str">
        <f aca="false">IF('Deal Tracker'!C437="","",COUNTIF('Deal Tracker'!$C$2:C437,'Deal Tracker'!C437))</f>
        <v/>
      </c>
      <c r="B437" s="0" t="str">
        <f aca="false">IF(A437="","",'Deal Tracker'!C437&amp;"#"&amp;A437)</f>
        <v/>
      </c>
      <c r="C437" s="0" t="str">
        <f aca="false">IF('Deal Tracker'!B437="","",'Deal Tracker'!B437&amp;IF('Deal Tracker'!D437=""," — size TBD"," — $"&amp;TEXT('Deal Tracker'!D437,"#,##0")&amp;"M"))</f>
        <v/>
      </c>
    </row>
    <row r="438" customFormat="false" ht="15" hidden="false" customHeight="false" outlineLevel="0" collapsed="false">
      <c r="A438" s="0" t="str">
        <f aca="false">IF('Deal Tracker'!C438="","",COUNTIF('Deal Tracker'!$C$2:C438,'Deal Tracker'!C438))</f>
        <v/>
      </c>
      <c r="B438" s="0" t="str">
        <f aca="false">IF(A438="","",'Deal Tracker'!C438&amp;"#"&amp;A438)</f>
        <v/>
      </c>
      <c r="C438" s="0" t="str">
        <f aca="false">IF('Deal Tracker'!B438="","",'Deal Tracker'!B438&amp;IF('Deal Tracker'!D438=""," — size TBD"," — $"&amp;TEXT('Deal Tracker'!D438,"#,##0")&amp;"M"))</f>
        <v/>
      </c>
    </row>
    <row r="439" customFormat="false" ht="15" hidden="false" customHeight="false" outlineLevel="0" collapsed="false">
      <c r="A439" s="0" t="str">
        <f aca="false">IF('Deal Tracker'!C439="","",COUNTIF('Deal Tracker'!$C$2:C439,'Deal Tracker'!C439))</f>
        <v/>
      </c>
      <c r="B439" s="0" t="str">
        <f aca="false">IF(A439="","",'Deal Tracker'!C439&amp;"#"&amp;A439)</f>
        <v/>
      </c>
      <c r="C439" s="0" t="str">
        <f aca="false">IF('Deal Tracker'!B439="","",'Deal Tracker'!B439&amp;IF('Deal Tracker'!D439=""," — size TBD"," — $"&amp;TEXT('Deal Tracker'!D439,"#,##0")&amp;"M"))</f>
        <v/>
      </c>
    </row>
    <row r="440" customFormat="false" ht="15" hidden="false" customHeight="false" outlineLevel="0" collapsed="false">
      <c r="A440" s="0" t="str">
        <f aca="false">IF('Deal Tracker'!C440="","",COUNTIF('Deal Tracker'!$C$2:C440,'Deal Tracker'!C440))</f>
        <v/>
      </c>
      <c r="B440" s="0" t="str">
        <f aca="false">IF(A440="","",'Deal Tracker'!C440&amp;"#"&amp;A440)</f>
        <v/>
      </c>
      <c r="C440" s="0" t="str">
        <f aca="false">IF('Deal Tracker'!B440="","",'Deal Tracker'!B440&amp;IF('Deal Tracker'!D440=""," — size TBD"," — $"&amp;TEXT('Deal Tracker'!D440,"#,##0")&amp;"M"))</f>
        <v/>
      </c>
    </row>
    <row r="441" customFormat="false" ht="15" hidden="false" customHeight="false" outlineLevel="0" collapsed="false">
      <c r="A441" s="0" t="str">
        <f aca="false">IF('Deal Tracker'!C441="","",COUNTIF('Deal Tracker'!$C$2:C441,'Deal Tracker'!C441))</f>
        <v/>
      </c>
      <c r="B441" s="0" t="str">
        <f aca="false">IF(A441="","",'Deal Tracker'!C441&amp;"#"&amp;A441)</f>
        <v/>
      </c>
      <c r="C441" s="0" t="str">
        <f aca="false">IF('Deal Tracker'!B441="","",'Deal Tracker'!B441&amp;IF('Deal Tracker'!D441=""," — size TBD"," — $"&amp;TEXT('Deal Tracker'!D441,"#,##0")&amp;"M"))</f>
        <v/>
      </c>
    </row>
    <row r="442" customFormat="false" ht="15" hidden="false" customHeight="false" outlineLevel="0" collapsed="false">
      <c r="A442" s="0" t="str">
        <f aca="false">IF('Deal Tracker'!C442="","",COUNTIF('Deal Tracker'!$C$2:C442,'Deal Tracker'!C442))</f>
        <v/>
      </c>
      <c r="B442" s="0" t="str">
        <f aca="false">IF(A442="","",'Deal Tracker'!C442&amp;"#"&amp;A442)</f>
        <v/>
      </c>
      <c r="C442" s="0" t="str">
        <f aca="false">IF('Deal Tracker'!B442="","",'Deal Tracker'!B442&amp;IF('Deal Tracker'!D442=""," — size TBD"," — $"&amp;TEXT('Deal Tracker'!D442,"#,##0")&amp;"M"))</f>
        <v/>
      </c>
    </row>
    <row r="443" customFormat="false" ht="15" hidden="false" customHeight="false" outlineLevel="0" collapsed="false">
      <c r="A443" s="0" t="str">
        <f aca="false">IF('Deal Tracker'!C443="","",COUNTIF('Deal Tracker'!$C$2:C443,'Deal Tracker'!C443))</f>
        <v/>
      </c>
      <c r="B443" s="0" t="str">
        <f aca="false">IF(A443="","",'Deal Tracker'!C443&amp;"#"&amp;A443)</f>
        <v/>
      </c>
      <c r="C443" s="0" t="str">
        <f aca="false">IF('Deal Tracker'!B443="","",'Deal Tracker'!B443&amp;IF('Deal Tracker'!D443=""," — size TBD"," — $"&amp;TEXT('Deal Tracker'!D443,"#,##0")&amp;"M"))</f>
        <v/>
      </c>
    </row>
    <row r="444" customFormat="false" ht="15" hidden="false" customHeight="false" outlineLevel="0" collapsed="false">
      <c r="A444" s="0" t="str">
        <f aca="false">IF('Deal Tracker'!C444="","",COUNTIF('Deal Tracker'!$C$2:C444,'Deal Tracker'!C444))</f>
        <v/>
      </c>
      <c r="B444" s="0" t="str">
        <f aca="false">IF(A444="","",'Deal Tracker'!C444&amp;"#"&amp;A444)</f>
        <v/>
      </c>
      <c r="C444" s="0" t="str">
        <f aca="false">IF('Deal Tracker'!B444="","",'Deal Tracker'!B444&amp;IF('Deal Tracker'!D444=""," — size TBD"," — $"&amp;TEXT('Deal Tracker'!D444,"#,##0")&amp;"M"))</f>
        <v/>
      </c>
    </row>
    <row r="445" customFormat="false" ht="15" hidden="false" customHeight="false" outlineLevel="0" collapsed="false">
      <c r="A445" s="0" t="str">
        <f aca="false">IF('Deal Tracker'!C445="","",COUNTIF('Deal Tracker'!$C$2:C445,'Deal Tracker'!C445))</f>
        <v/>
      </c>
      <c r="B445" s="0" t="str">
        <f aca="false">IF(A445="","",'Deal Tracker'!C445&amp;"#"&amp;A445)</f>
        <v/>
      </c>
      <c r="C445" s="0" t="str">
        <f aca="false">IF('Deal Tracker'!B445="","",'Deal Tracker'!B445&amp;IF('Deal Tracker'!D445=""," — size TBD"," — $"&amp;TEXT('Deal Tracker'!D445,"#,##0")&amp;"M"))</f>
        <v/>
      </c>
    </row>
    <row r="446" customFormat="false" ht="15" hidden="false" customHeight="false" outlineLevel="0" collapsed="false">
      <c r="A446" s="0" t="str">
        <f aca="false">IF('Deal Tracker'!C446="","",COUNTIF('Deal Tracker'!$C$2:C446,'Deal Tracker'!C446))</f>
        <v/>
      </c>
      <c r="B446" s="0" t="str">
        <f aca="false">IF(A446="","",'Deal Tracker'!C446&amp;"#"&amp;A446)</f>
        <v/>
      </c>
      <c r="C446" s="0" t="str">
        <f aca="false">IF('Deal Tracker'!B446="","",'Deal Tracker'!B446&amp;IF('Deal Tracker'!D446=""," — size TBD"," — $"&amp;TEXT('Deal Tracker'!D446,"#,##0")&amp;"M"))</f>
        <v/>
      </c>
    </row>
    <row r="447" customFormat="false" ht="15" hidden="false" customHeight="false" outlineLevel="0" collapsed="false">
      <c r="A447" s="0" t="str">
        <f aca="false">IF('Deal Tracker'!C447="","",COUNTIF('Deal Tracker'!$C$2:C447,'Deal Tracker'!C447))</f>
        <v/>
      </c>
      <c r="B447" s="0" t="str">
        <f aca="false">IF(A447="","",'Deal Tracker'!C447&amp;"#"&amp;A447)</f>
        <v/>
      </c>
      <c r="C447" s="0" t="str">
        <f aca="false">IF('Deal Tracker'!B447="","",'Deal Tracker'!B447&amp;IF('Deal Tracker'!D447=""," — size TBD"," — $"&amp;TEXT('Deal Tracker'!D447,"#,##0")&amp;"M"))</f>
        <v/>
      </c>
    </row>
    <row r="448" customFormat="false" ht="15" hidden="false" customHeight="false" outlineLevel="0" collapsed="false">
      <c r="A448" s="0" t="str">
        <f aca="false">IF('Deal Tracker'!C448="","",COUNTIF('Deal Tracker'!$C$2:C448,'Deal Tracker'!C448))</f>
        <v/>
      </c>
      <c r="B448" s="0" t="str">
        <f aca="false">IF(A448="","",'Deal Tracker'!C448&amp;"#"&amp;A448)</f>
        <v/>
      </c>
      <c r="C448" s="0" t="str">
        <f aca="false">IF('Deal Tracker'!B448="","",'Deal Tracker'!B448&amp;IF('Deal Tracker'!D448=""," — size TBD"," — $"&amp;TEXT('Deal Tracker'!D448,"#,##0")&amp;"M"))</f>
        <v/>
      </c>
    </row>
    <row r="449" customFormat="false" ht="15" hidden="false" customHeight="false" outlineLevel="0" collapsed="false">
      <c r="A449" s="0" t="str">
        <f aca="false">IF('Deal Tracker'!C449="","",COUNTIF('Deal Tracker'!$C$2:C449,'Deal Tracker'!C449))</f>
        <v/>
      </c>
      <c r="B449" s="0" t="str">
        <f aca="false">IF(A449="","",'Deal Tracker'!C449&amp;"#"&amp;A449)</f>
        <v/>
      </c>
      <c r="C449" s="0" t="str">
        <f aca="false">IF('Deal Tracker'!B449="","",'Deal Tracker'!B449&amp;IF('Deal Tracker'!D449=""," — size TBD"," — $"&amp;TEXT('Deal Tracker'!D449,"#,##0")&amp;"M"))</f>
        <v/>
      </c>
    </row>
    <row r="450" customFormat="false" ht="15" hidden="false" customHeight="false" outlineLevel="0" collapsed="false">
      <c r="A450" s="0" t="str">
        <f aca="false">IF('Deal Tracker'!C450="","",COUNTIF('Deal Tracker'!$C$2:C450,'Deal Tracker'!C450))</f>
        <v/>
      </c>
      <c r="B450" s="0" t="str">
        <f aca="false">IF(A450="","",'Deal Tracker'!C450&amp;"#"&amp;A450)</f>
        <v/>
      </c>
      <c r="C450" s="0" t="str">
        <f aca="false">IF('Deal Tracker'!B450="","",'Deal Tracker'!B450&amp;IF('Deal Tracker'!D450=""," — size TBD"," — $"&amp;TEXT('Deal Tracker'!D450,"#,##0")&amp;"M"))</f>
        <v/>
      </c>
    </row>
    <row r="451" customFormat="false" ht="15" hidden="false" customHeight="false" outlineLevel="0" collapsed="false">
      <c r="A451" s="0" t="str">
        <f aca="false">IF('Deal Tracker'!C451="","",COUNTIF('Deal Tracker'!$C$2:C451,'Deal Tracker'!C451))</f>
        <v/>
      </c>
      <c r="B451" s="0" t="str">
        <f aca="false">IF(A451="","",'Deal Tracker'!C451&amp;"#"&amp;A451)</f>
        <v/>
      </c>
      <c r="C451" s="0" t="str">
        <f aca="false">IF('Deal Tracker'!B451="","",'Deal Tracker'!B451&amp;IF('Deal Tracker'!D451=""," — size TBD"," — $"&amp;TEXT('Deal Tracker'!D451,"#,##0")&amp;"M"))</f>
        <v/>
      </c>
    </row>
    <row r="452" customFormat="false" ht="15" hidden="false" customHeight="false" outlineLevel="0" collapsed="false">
      <c r="A452" s="0" t="str">
        <f aca="false">IF('Deal Tracker'!C452="","",COUNTIF('Deal Tracker'!$C$2:C452,'Deal Tracker'!C452))</f>
        <v/>
      </c>
      <c r="B452" s="0" t="str">
        <f aca="false">IF(A452="","",'Deal Tracker'!C452&amp;"#"&amp;A452)</f>
        <v/>
      </c>
      <c r="C452" s="0" t="str">
        <f aca="false">IF('Deal Tracker'!B452="","",'Deal Tracker'!B452&amp;IF('Deal Tracker'!D452=""," — size TBD"," — $"&amp;TEXT('Deal Tracker'!D452,"#,##0")&amp;"M"))</f>
        <v/>
      </c>
    </row>
    <row r="453" customFormat="false" ht="15" hidden="false" customHeight="false" outlineLevel="0" collapsed="false">
      <c r="A453" s="0" t="str">
        <f aca="false">IF('Deal Tracker'!C453="","",COUNTIF('Deal Tracker'!$C$2:C453,'Deal Tracker'!C453))</f>
        <v/>
      </c>
      <c r="B453" s="0" t="str">
        <f aca="false">IF(A453="","",'Deal Tracker'!C453&amp;"#"&amp;A453)</f>
        <v/>
      </c>
      <c r="C453" s="0" t="str">
        <f aca="false">IF('Deal Tracker'!B453="","",'Deal Tracker'!B453&amp;IF('Deal Tracker'!D453=""," — size TBD"," — $"&amp;TEXT('Deal Tracker'!D453,"#,##0")&amp;"M"))</f>
        <v/>
      </c>
    </row>
    <row r="454" customFormat="false" ht="15" hidden="false" customHeight="false" outlineLevel="0" collapsed="false">
      <c r="A454" s="0" t="str">
        <f aca="false">IF('Deal Tracker'!C454="","",COUNTIF('Deal Tracker'!$C$2:C454,'Deal Tracker'!C454))</f>
        <v/>
      </c>
      <c r="B454" s="0" t="str">
        <f aca="false">IF(A454="","",'Deal Tracker'!C454&amp;"#"&amp;A454)</f>
        <v/>
      </c>
      <c r="C454" s="0" t="str">
        <f aca="false">IF('Deal Tracker'!B454="","",'Deal Tracker'!B454&amp;IF('Deal Tracker'!D454=""," — size TBD"," — $"&amp;TEXT('Deal Tracker'!D454,"#,##0")&amp;"M"))</f>
        <v/>
      </c>
    </row>
    <row r="455" customFormat="false" ht="15" hidden="false" customHeight="false" outlineLevel="0" collapsed="false">
      <c r="A455" s="0" t="str">
        <f aca="false">IF('Deal Tracker'!C455="","",COUNTIF('Deal Tracker'!$C$2:C455,'Deal Tracker'!C455))</f>
        <v/>
      </c>
      <c r="B455" s="0" t="str">
        <f aca="false">IF(A455="","",'Deal Tracker'!C455&amp;"#"&amp;A455)</f>
        <v/>
      </c>
      <c r="C455" s="0" t="str">
        <f aca="false">IF('Deal Tracker'!B455="","",'Deal Tracker'!B455&amp;IF('Deal Tracker'!D455=""," — size TBD"," — $"&amp;TEXT('Deal Tracker'!D455,"#,##0")&amp;"M"))</f>
        <v/>
      </c>
    </row>
    <row r="456" customFormat="false" ht="15" hidden="false" customHeight="false" outlineLevel="0" collapsed="false">
      <c r="A456" s="0" t="str">
        <f aca="false">IF('Deal Tracker'!C456="","",COUNTIF('Deal Tracker'!$C$2:C456,'Deal Tracker'!C456))</f>
        <v/>
      </c>
      <c r="B456" s="0" t="str">
        <f aca="false">IF(A456="","",'Deal Tracker'!C456&amp;"#"&amp;A456)</f>
        <v/>
      </c>
      <c r="C456" s="0" t="str">
        <f aca="false">IF('Deal Tracker'!B456="","",'Deal Tracker'!B456&amp;IF('Deal Tracker'!D456=""," — size TBD"," — $"&amp;TEXT('Deal Tracker'!D456,"#,##0")&amp;"M"))</f>
        <v/>
      </c>
    </row>
    <row r="457" customFormat="false" ht="15" hidden="false" customHeight="false" outlineLevel="0" collapsed="false">
      <c r="A457" s="0" t="str">
        <f aca="false">IF('Deal Tracker'!C457="","",COUNTIF('Deal Tracker'!$C$2:C457,'Deal Tracker'!C457))</f>
        <v/>
      </c>
      <c r="B457" s="0" t="str">
        <f aca="false">IF(A457="","",'Deal Tracker'!C457&amp;"#"&amp;A457)</f>
        <v/>
      </c>
      <c r="C457" s="0" t="str">
        <f aca="false">IF('Deal Tracker'!B457="","",'Deal Tracker'!B457&amp;IF('Deal Tracker'!D457=""," — size TBD"," — $"&amp;TEXT('Deal Tracker'!D457,"#,##0")&amp;"M"))</f>
        <v/>
      </c>
    </row>
    <row r="458" customFormat="false" ht="15" hidden="false" customHeight="false" outlineLevel="0" collapsed="false">
      <c r="A458" s="0" t="str">
        <f aca="false">IF('Deal Tracker'!C458="","",COUNTIF('Deal Tracker'!$C$2:C458,'Deal Tracker'!C458))</f>
        <v/>
      </c>
      <c r="B458" s="0" t="str">
        <f aca="false">IF(A458="","",'Deal Tracker'!C458&amp;"#"&amp;A458)</f>
        <v/>
      </c>
      <c r="C458" s="0" t="str">
        <f aca="false">IF('Deal Tracker'!B458="","",'Deal Tracker'!B458&amp;IF('Deal Tracker'!D458=""," — size TBD"," — $"&amp;TEXT('Deal Tracker'!D458,"#,##0")&amp;"M"))</f>
        <v/>
      </c>
    </row>
    <row r="459" customFormat="false" ht="15" hidden="false" customHeight="false" outlineLevel="0" collapsed="false">
      <c r="A459" s="0" t="str">
        <f aca="false">IF('Deal Tracker'!C459="","",COUNTIF('Deal Tracker'!$C$2:C459,'Deal Tracker'!C459))</f>
        <v/>
      </c>
      <c r="B459" s="0" t="str">
        <f aca="false">IF(A459="","",'Deal Tracker'!C459&amp;"#"&amp;A459)</f>
        <v/>
      </c>
      <c r="C459" s="0" t="str">
        <f aca="false">IF('Deal Tracker'!B459="","",'Deal Tracker'!B459&amp;IF('Deal Tracker'!D459=""," — size TBD"," — $"&amp;TEXT('Deal Tracker'!D459,"#,##0")&amp;"M"))</f>
        <v/>
      </c>
    </row>
    <row r="460" customFormat="false" ht="15" hidden="false" customHeight="false" outlineLevel="0" collapsed="false">
      <c r="A460" s="0" t="str">
        <f aca="false">IF('Deal Tracker'!C460="","",COUNTIF('Deal Tracker'!$C$2:C460,'Deal Tracker'!C460))</f>
        <v/>
      </c>
      <c r="B460" s="0" t="str">
        <f aca="false">IF(A460="","",'Deal Tracker'!C460&amp;"#"&amp;A460)</f>
        <v/>
      </c>
      <c r="C460" s="0" t="str">
        <f aca="false">IF('Deal Tracker'!B460="","",'Deal Tracker'!B460&amp;IF('Deal Tracker'!D460=""," — size TBD"," — $"&amp;TEXT('Deal Tracker'!D460,"#,##0")&amp;"M"))</f>
        <v/>
      </c>
    </row>
    <row r="461" customFormat="false" ht="15" hidden="false" customHeight="false" outlineLevel="0" collapsed="false">
      <c r="A461" s="0" t="str">
        <f aca="false">IF('Deal Tracker'!C461="","",COUNTIF('Deal Tracker'!$C$2:C461,'Deal Tracker'!C461))</f>
        <v/>
      </c>
      <c r="B461" s="0" t="str">
        <f aca="false">IF(A461="","",'Deal Tracker'!C461&amp;"#"&amp;A461)</f>
        <v/>
      </c>
      <c r="C461" s="0" t="str">
        <f aca="false">IF('Deal Tracker'!B461="","",'Deal Tracker'!B461&amp;IF('Deal Tracker'!D461=""," — size TBD"," — $"&amp;TEXT('Deal Tracker'!D461,"#,##0")&amp;"M"))</f>
        <v/>
      </c>
    </row>
    <row r="462" customFormat="false" ht="15" hidden="false" customHeight="false" outlineLevel="0" collapsed="false">
      <c r="A462" s="0" t="str">
        <f aca="false">IF('Deal Tracker'!C462="","",COUNTIF('Deal Tracker'!$C$2:C462,'Deal Tracker'!C462))</f>
        <v/>
      </c>
      <c r="B462" s="0" t="str">
        <f aca="false">IF(A462="","",'Deal Tracker'!C462&amp;"#"&amp;A462)</f>
        <v/>
      </c>
      <c r="C462" s="0" t="str">
        <f aca="false">IF('Deal Tracker'!B462="","",'Deal Tracker'!B462&amp;IF('Deal Tracker'!D462=""," — size TBD"," — $"&amp;TEXT('Deal Tracker'!D462,"#,##0")&amp;"M"))</f>
        <v/>
      </c>
    </row>
    <row r="463" customFormat="false" ht="15" hidden="false" customHeight="false" outlineLevel="0" collapsed="false">
      <c r="A463" s="0" t="str">
        <f aca="false">IF('Deal Tracker'!C463="","",COUNTIF('Deal Tracker'!$C$2:C463,'Deal Tracker'!C463))</f>
        <v/>
      </c>
      <c r="B463" s="0" t="str">
        <f aca="false">IF(A463="","",'Deal Tracker'!C463&amp;"#"&amp;A463)</f>
        <v/>
      </c>
      <c r="C463" s="0" t="str">
        <f aca="false">IF('Deal Tracker'!B463="","",'Deal Tracker'!B463&amp;IF('Deal Tracker'!D463=""," — size TBD"," — $"&amp;TEXT('Deal Tracker'!D463,"#,##0")&amp;"M"))</f>
        <v/>
      </c>
    </row>
    <row r="464" customFormat="false" ht="15" hidden="false" customHeight="false" outlineLevel="0" collapsed="false">
      <c r="A464" s="0" t="str">
        <f aca="false">IF('Deal Tracker'!C464="","",COUNTIF('Deal Tracker'!$C$2:C464,'Deal Tracker'!C464))</f>
        <v/>
      </c>
      <c r="B464" s="0" t="str">
        <f aca="false">IF(A464="","",'Deal Tracker'!C464&amp;"#"&amp;A464)</f>
        <v/>
      </c>
      <c r="C464" s="0" t="str">
        <f aca="false">IF('Deal Tracker'!B464="","",'Deal Tracker'!B464&amp;IF('Deal Tracker'!D464=""," — size TBD"," — $"&amp;TEXT('Deal Tracker'!D464,"#,##0")&amp;"M"))</f>
        <v/>
      </c>
    </row>
    <row r="465" customFormat="false" ht="15" hidden="false" customHeight="false" outlineLevel="0" collapsed="false">
      <c r="A465" s="0" t="str">
        <f aca="false">IF('Deal Tracker'!C465="","",COUNTIF('Deal Tracker'!$C$2:C465,'Deal Tracker'!C465))</f>
        <v/>
      </c>
      <c r="B465" s="0" t="str">
        <f aca="false">IF(A465="","",'Deal Tracker'!C465&amp;"#"&amp;A465)</f>
        <v/>
      </c>
      <c r="C465" s="0" t="str">
        <f aca="false">IF('Deal Tracker'!B465="","",'Deal Tracker'!B465&amp;IF('Deal Tracker'!D465=""," — size TBD"," — $"&amp;TEXT('Deal Tracker'!D465,"#,##0")&amp;"M"))</f>
        <v/>
      </c>
    </row>
    <row r="466" customFormat="false" ht="15" hidden="false" customHeight="false" outlineLevel="0" collapsed="false">
      <c r="A466" s="0" t="str">
        <f aca="false">IF('Deal Tracker'!C466="","",COUNTIF('Deal Tracker'!$C$2:C466,'Deal Tracker'!C466))</f>
        <v/>
      </c>
      <c r="B466" s="0" t="str">
        <f aca="false">IF(A466="","",'Deal Tracker'!C466&amp;"#"&amp;A466)</f>
        <v/>
      </c>
      <c r="C466" s="0" t="str">
        <f aca="false">IF('Deal Tracker'!B466="","",'Deal Tracker'!B466&amp;IF('Deal Tracker'!D466=""," — size TBD"," — $"&amp;TEXT('Deal Tracker'!D466,"#,##0")&amp;"M"))</f>
        <v/>
      </c>
    </row>
    <row r="467" customFormat="false" ht="15" hidden="false" customHeight="false" outlineLevel="0" collapsed="false">
      <c r="A467" s="0" t="str">
        <f aca="false">IF('Deal Tracker'!C467="","",COUNTIF('Deal Tracker'!$C$2:C467,'Deal Tracker'!C467))</f>
        <v/>
      </c>
      <c r="B467" s="0" t="str">
        <f aca="false">IF(A467="","",'Deal Tracker'!C467&amp;"#"&amp;A467)</f>
        <v/>
      </c>
      <c r="C467" s="0" t="str">
        <f aca="false">IF('Deal Tracker'!B467="","",'Deal Tracker'!B467&amp;IF('Deal Tracker'!D467=""," — size TBD"," — $"&amp;TEXT('Deal Tracker'!D467,"#,##0")&amp;"M"))</f>
        <v/>
      </c>
    </row>
    <row r="468" customFormat="false" ht="15" hidden="false" customHeight="false" outlineLevel="0" collapsed="false">
      <c r="A468" s="0" t="str">
        <f aca="false">IF('Deal Tracker'!C468="","",COUNTIF('Deal Tracker'!$C$2:C468,'Deal Tracker'!C468))</f>
        <v/>
      </c>
      <c r="B468" s="0" t="str">
        <f aca="false">IF(A468="","",'Deal Tracker'!C468&amp;"#"&amp;A468)</f>
        <v/>
      </c>
      <c r="C468" s="0" t="str">
        <f aca="false">IF('Deal Tracker'!B468="","",'Deal Tracker'!B468&amp;IF('Deal Tracker'!D468=""," — size TBD"," — $"&amp;TEXT('Deal Tracker'!D468,"#,##0")&amp;"M"))</f>
        <v/>
      </c>
    </row>
    <row r="469" customFormat="false" ht="15" hidden="false" customHeight="false" outlineLevel="0" collapsed="false">
      <c r="A469" s="0" t="str">
        <f aca="false">IF('Deal Tracker'!C469="","",COUNTIF('Deal Tracker'!$C$2:C469,'Deal Tracker'!C469))</f>
        <v/>
      </c>
      <c r="B469" s="0" t="str">
        <f aca="false">IF(A469="","",'Deal Tracker'!C469&amp;"#"&amp;A469)</f>
        <v/>
      </c>
      <c r="C469" s="0" t="str">
        <f aca="false">IF('Deal Tracker'!B469="","",'Deal Tracker'!B469&amp;IF('Deal Tracker'!D469=""," — size TBD"," — $"&amp;TEXT('Deal Tracker'!D469,"#,##0")&amp;"M"))</f>
        <v/>
      </c>
    </row>
    <row r="470" customFormat="false" ht="15" hidden="false" customHeight="false" outlineLevel="0" collapsed="false">
      <c r="A470" s="0" t="str">
        <f aca="false">IF('Deal Tracker'!C470="","",COUNTIF('Deal Tracker'!$C$2:C470,'Deal Tracker'!C470))</f>
        <v/>
      </c>
      <c r="B470" s="0" t="str">
        <f aca="false">IF(A470="","",'Deal Tracker'!C470&amp;"#"&amp;A470)</f>
        <v/>
      </c>
      <c r="C470" s="0" t="str">
        <f aca="false">IF('Deal Tracker'!B470="","",'Deal Tracker'!B470&amp;IF('Deal Tracker'!D470=""," — size TBD"," — $"&amp;TEXT('Deal Tracker'!D470,"#,##0")&amp;"M"))</f>
        <v/>
      </c>
    </row>
    <row r="471" customFormat="false" ht="15" hidden="false" customHeight="false" outlineLevel="0" collapsed="false">
      <c r="A471" s="0" t="str">
        <f aca="false">IF('Deal Tracker'!C471="","",COUNTIF('Deal Tracker'!$C$2:C471,'Deal Tracker'!C471))</f>
        <v/>
      </c>
      <c r="B471" s="0" t="str">
        <f aca="false">IF(A471="","",'Deal Tracker'!C471&amp;"#"&amp;A471)</f>
        <v/>
      </c>
      <c r="C471" s="0" t="str">
        <f aca="false">IF('Deal Tracker'!B471="","",'Deal Tracker'!B471&amp;IF('Deal Tracker'!D471=""," — size TBD"," — $"&amp;TEXT('Deal Tracker'!D471,"#,##0")&amp;"M"))</f>
        <v/>
      </c>
    </row>
    <row r="472" customFormat="false" ht="15" hidden="false" customHeight="false" outlineLevel="0" collapsed="false">
      <c r="A472" s="0" t="str">
        <f aca="false">IF('Deal Tracker'!C472="","",COUNTIF('Deal Tracker'!$C$2:C472,'Deal Tracker'!C472))</f>
        <v/>
      </c>
      <c r="B472" s="0" t="str">
        <f aca="false">IF(A472="","",'Deal Tracker'!C472&amp;"#"&amp;A472)</f>
        <v/>
      </c>
      <c r="C472" s="0" t="str">
        <f aca="false">IF('Deal Tracker'!B472="","",'Deal Tracker'!B472&amp;IF('Deal Tracker'!D472=""," — size TBD"," — $"&amp;TEXT('Deal Tracker'!D472,"#,##0")&amp;"M"))</f>
        <v/>
      </c>
    </row>
    <row r="473" customFormat="false" ht="15" hidden="false" customHeight="false" outlineLevel="0" collapsed="false">
      <c r="A473" s="0" t="str">
        <f aca="false">IF('Deal Tracker'!C473="","",COUNTIF('Deal Tracker'!$C$2:C473,'Deal Tracker'!C473))</f>
        <v/>
      </c>
      <c r="B473" s="0" t="str">
        <f aca="false">IF(A473="","",'Deal Tracker'!C473&amp;"#"&amp;A473)</f>
        <v/>
      </c>
      <c r="C473" s="0" t="str">
        <f aca="false">IF('Deal Tracker'!B473="","",'Deal Tracker'!B473&amp;IF('Deal Tracker'!D473=""," — size TBD"," — $"&amp;TEXT('Deal Tracker'!D473,"#,##0")&amp;"M"))</f>
        <v/>
      </c>
    </row>
    <row r="474" customFormat="false" ht="15" hidden="false" customHeight="false" outlineLevel="0" collapsed="false">
      <c r="A474" s="0" t="str">
        <f aca="false">IF('Deal Tracker'!C474="","",COUNTIF('Deal Tracker'!$C$2:C474,'Deal Tracker'!C474))</f>
        <v/>
      </c>
      <c r="B474" s="0" t="str">
        <f aca="false">IF(A474="","",'Deal Tracker'!C474&amp;"#"&amp;A474)</f>
        <v/>
      </c>
      <c r="C474" s="0" t="str">
        <f aca="false">IF('Deal Tracker'!B474="","",'Deal Tracker'!B474&amp;IF('Deal Tracker'!D474=""," — size TBD"," — $"&amp;TEXT('Deal Tracker'!D474,"#,##0")&amp;"M"))</f>
        <v/>
      </c>
    </row>
    <row r="475" customFormat="false" ht="15" hidden="false" customHeight="false" outlineLevel="0" collapsed="false">
      <c r="A475" s="0" t="str">
        <f aca="false">IF('Deal Tracker'!C475="","",COUNTIF('Deal Tracker'!$C$2:C475,'Deal Tracker'!C475))</f>
        <v/>
      </c>
      <c r="B475" s="0" t="str">
        <f aca="false">IF(A475="","",'Deal Tracker'!C475&amp;"#"&amp;A475)</f>
        <v/>
      </c>
      <c r="C475" s="0" t="str">
        <f aca="false">IF('Deal Tracker'!B475="","",'Deal Tracker'!B475&amp;IF('Deal Tracker'!D475=""," — size TBD"," — $"&amp;TEXT('Deal Tracker'!D475,"#,##0")&amp;"M"))</f>
        <v/>
      </c>
    </row>
    <row r="476" customFormat="false" ht="15" hidden="false" customHeight="false" outlineLevel="0" collapsed="false">
      <c r="A476" s="0" t="str">
        <f aca="false">IF('Deal Tracker'!C476="","",COUNTIF('Deal Tracker'!$C$2:C476,'Deal Tracker'!C476))</f>
        <v/>
      </c>
      <c r="B476" s="0" t="str">
        <f aca="false">IF(A476="","",'Deal Tracker'!C476&amp;"#"&amp;A476)</f>
        <v/>
      </c>
      <c r="C476" s="0" t="str">
        <f aca="false">IF('Deal Tracker'!B476="","",'Deal Tracker'!B476&amp;IF('Deal Tracker'!D476=""," — size TBD"," — $"&amp;TEXT('Deal Tracker'!D476,"#,##0")&amp;"M"))</f>
        <v/>
      </c>
    </row>
    <row r="477" customFormat="false" ht="15" hidden="false" customHeight="false" outlineLevel="0" collapsed="false">
      <c r="A477" s="0" t="str">
        <f aca="false">IF('Deal Tracker'!C477="","",COUNTIF('Deal Tracker'!$C$2:C477,'Deal Tracker'!C477))</f>
        <v/>
      </c>
      <c r="B477" s="0" t="str">
        <f aca="false">IF(A477="","",'Deal Tracker'!C477&amp;"#"&amp;A477)</f>
        <v/>
      </c>
      <c r="C477" s="0" t="str">
        <f aca="false">IF('Deal Tracker'!B477="","",'Deal Tracker'!B477&amp;IF('Deal Tracker'!D477=""," — size TBD"," — $"&amp;TEXT('Deal Tracker'!D477,"#,##0")&amp;"M"))</f>
        <v/>
      </c>
    </row>
    <row r="478" customFormat="false" ht="15" hidden="false" customHeight="false" outlineLevel="0" collapsed="false">
      <c r="A478" s="0" t="str">
        <f aca="false">IF('Deal Tracker'!C478="","",COUNTIF('Deal Tracker'!$C$2:C478,'Deal Tracker'!C478))</f>
        <v/>
      </c>
      <c r="B478" s="0" t="str">
        <f aca="false">IF(A478="","",'Deal Tracker'!C478&amp;"#"&amp;A478)</f>
        <v/>
      </c>
      <c r="C478" s="0" t="str">
        <f aca="false">IF('Deal Tracker'!B478="","",'Deal Tracker'!B478&amp;IF('Deal Tracker'!D478=""," — size TBD"," — $"&amp;TEXT('Deal Tracker'!D478,"#,##0")&amp;"M"))</f>
        <v/>
      </c>
    </row>
    <row r="479" customFormat="false" ht="15" hidden="false" customHeight="false" outlineLevel="0" collapsed="false">
      <c r="A479" s="0" t="str">
        <f aca="false">IF('Deal Tracker'!C479="","",COUNTIF('Deal Tracker'!$C$2:C479,'Deal Tracker'!C479))</f>
        <v/>
      </c>
      <c r="B479" s="0" t="str">
        <f aca="false">IF(A479="","",'Deal Tracker'!C479&amp;"#"&amp;A479)</f>
        <v/>
      </c>
      <c r="C479" s="0" t="str">
        <f aca="false">IF('Deal Tracker'!B479="","",'Deal Tracker'!B479&amp;IF('Deal Tracker'!D479=""," — size TBD"," — $"&amp;TEXT('Deal Tracker'!D479,"#,##0")&amp;"M"))</f>
        <v/>
      </c>
    </row>
    <row r="480" customFormat="false" ht="15" hidden="false" customHeight="false" outlineLevel="0" collapsed="false">
      <c r="A480" s="0" t="str">
        <f aca="false">IF('Deal Tracker'!C480="","",COUNTIF('Deal Tracker'!$C$2:C480,'Deal Tracker'!C480))</f>
        <v/>
      </c>
      <c r="B480" s="0" t="str">
        <f aca="false">IF(A480="","",'Deal Tracker'!C480&amp;"#"&amp;A480)</f>
        <v/>
      </c>
      <c r="C480" s="0" t="str">
        <f aca="false">IF('Deal Tracker'!B480="","",'Deal Tracker'!B480&amp;IF('Deal Tracker'!D480=""," — size TBD"," — $"&amp;TEXT('Deal Tracker'!D480,"#,##0")&amp;"M"))</f>
        <v/>
      </c>
    </row>
    <row r="481" customFormat="false" ht="15" hidden="false" customHeight="false" outlineLevel="0" collapsed="false">
      <c r="A481" s="0" t="str">
        <f aca="false">IF('Deal Tracker'!C481="","",COUNTIF('Deal Tracker'!$C$2:C481,'Deal Tracker'!C481))</f>
        <v/>
      </c>
      <c r="B481" s="0" t="str">
        <f aca="false">IF(A481="","",'Deal Tracker'!C481&amp;"#"&amp;A481)</f>
        <v/>
      </c>
      <c r="C481" s="0" t="str">
        <f aca="false">IF('Deal Tracker'!B481="","",'Deal Tracker'!B481&amp;IF('Deal Tracker'!D481=""," — size TBD"," — $"&amp;TEXT('Deal Tracker'!D481,"#,##0")&amp;"M"))</f>
        <v/>
      </c>
    </row>
    <row r="482" customFormat="false" ht="15" hidden="false" customHeight="false" outlineLevel="0" collapsed="false">
      <c r="A482" s="0" t="str">
        <f aca="false">IF('Deal Tracker'!C482="","",COUNTIF('Deal Tracker'!$C$2:C482,'Deal Tracker'!C482))</f>
        <v/>
      </c>
      <c r="B482" s="0" t="str">
        <f aca="false">IF(A482="","",'Deal Tracker'!C482&amp;"#"&amp;A482)</f>
        <v/>
      </c>
      <c r="C482" s="0" t="str">
        <f aca="false">IF('Deal Tracker'!B482="","",'Deal Tracker'!B482&amp;IF('Deal Tracker'!D482=""," — size TBD"," — $"&amp;TEXT('Deal Tracker'!D482,"#,##0")&amp;"M"))</f>
        <v/>
      </c>
    </row>
    <row r="483" customFormat="false" ht="15" hidden="false" customHeight="false" outlineLevel="0" collapsed="false">
      <c r="A483" s="0" t="str">
        <f aca="false">IF('Deal Tracker'!C483="","",COUNTIF('Deal Tracker'!$C$2:C483,'Deal Tracker'!C483))</f>
        <v/>
      </c>
      <c r="B483" s="0" t="str">
        <f aca="false">IF(A483="","",'Deal Tracker'!C483&amp;"#"&amp;A483)</f>
        <v/>
      </c>
      <c r="C483" s="0" t="str">
        <f aca="false">IF('Deal Tracker'!B483="","",'Deal Tracker'!B483&amp;IF('Deal Tracker'!D483=""," — size TBD"," — $"&amp;TEXT('Deal Tracker'!D483,"#,##0")&amp;"M"))</f>
        <v/>
      </c>
    </row>
    <row r="484" customFormat="false" ht="15" hidden="false" customHeight="false" outlineLevel="0" collapsed="false">
      <c r="A484" s="0" t="str">
        <f aca="false">IF('Deal Tracker'!C484="","",COUNTIF('Deal Tracker'!$C$2:C484,'Deal Tracker'!C484))</f>
        <v/>
      </c>
      <c r="B484" s="0" t="str">
        <f aca="false">IF(A484="","",'Deal Tracker'!C484&amp;"#"&amp;A484)</f>
        <v/>
      </c>
      <c r="C484" s="0" t="str">
        <f aca="false">IF('Deal Tracker'!B484="","",'Deal Tracker'!B484&amp;IF('Deal Tracker'!D484=""," — size TBD"," — $"&amp;TEXT('Deal Tracker'!D484,"#,##0")&amp;"M"))</f>
        <v/>
      </c>
    </row>
    <row r="485" customFormat="false" ht="15" hidden="false" customHeight="false" outlineLevel="0" collapsed="false">
      <c r="A485" s="0" t="str">
        <f aca="false">IF('Deal Tracker'!C485="","",COUNTIF('Deal Tracker'!$C$2:C485,'Deal Tracker'!C485))</f>
        <v/>
      </c>
      <c r="B485" s="0" t="str">
        <f aca="false">IF(A485="","",'Deal Tracker'!C485&amp;"#"&amp;A485)</f>
        <v/>
      </c>
      <c r="C485" s="0" t="str">
        <f aca="false">IF('Deal Tracker'!B485="","",'Deal Tracker'!B485&amp;IF('Deal Tracker'!D485=""," — size TBD"," — $"&amp;TEXT('Deal Tracker'!D485,"#,##0")&amp;"M"))</f>
        <v/>
      </c>
    </row>
    <row r="486" customFormat="false" ht="15" hidden="false" customHeight="false" outlineLevel="0" collapsed="false">
      <c r="A486" s="0" t="str">
        <f aca="false">IF('Deal Tracker'!C486="","",COUNTIF('Deal Tracker'!$C$2:C486,'Deal Tracker'!C486))</f>
        <v/>
      </c>
      <c r="B486" s="0" t="str">
        <f aca="false">IF(A486="","",'Deal Tracker'!C486&amp;"#"&amp;A486)</f>
        <v/>
      </c>
      <c r="C486" s="0" t="str">
        <f aca="false">IF('Deal Tracker'!B486="","",'Deal Tracker'!B486&amp;IF('Deal Tracker'!D486=""," — size TBD"," — $"&amp;TEXT('Deal Tracker'!D486,"#,##0")&amp;"M"))</f>
        <v/>
      </c>
    </row>
    <row r="487" customFormat="false" ht="15" hidden="false" customHeight="false" outlineLevel="0" collapsed="false">
      <c r="A487" s="0" t="str">
        <f aca="false">IF('Deal Tracker'!C487="","",COUNTIF('Deal Tracker'!$C$2:C487,'Deal Tracker'!C487))</f>
        <v/>
      </c>
      <c r="B487" s="0" t="str">
        <f aca="false">IF(A487="","",'Deal Tracker'!C487&amp;"#"&amp;A487)</f>
        <v/>
      </c>
      <c r="C487" s="0" t="str">
        <f aca="false">IF('Deal Tracker'!B487="","",'Deal Tracker'!B487&amp;IF('Deal Tracker'!D487=""," — size TBD"," — $"&amp;TEXT('Deal Tracker'!D487,"#,##0")&amp;"M"))</f>
        <v/>
      </c>
    </row>
    <row r="488" customFormat="false" ht="15" hidden="false" customHeight="false" outlineLevel="0" collapsed="false">
      <c r="A488" s="0" t="str">
        <f aca="false">IF('Deal Tracker'!C488="","",COUNTIF('Deal Tracker'!$C$2:C488,'Deal Tracker'!C488))</f>
        <v/>
      </c>
      <c r="B488" s="0" t="str">
        <f aca="false">IF(A488="","",'Deal Tracker'!C488&amp;"#"&amp;A488)</f>
        <v/>
      </c>
      <c r="C488" s="0" t="str">
        <f aca="false">IF('Deal Tracker'!B488="","",'Deal Tracker'!B488&amp;IF('Deal Tracker'!D488=""," — size TBD"," — $"&amp;TEXT('Deal Tracker'!D488,"#,##0")&amp;"M"))</f>
        <v/>
      </c>
    </row>
    <row r="489" customFormat="false" ht="15" hidden="false" customHeight="false" outlineLevel="0" collapsed="false">
      <c r="A489" s="0" t="str">
        <f aca="false">IF('Deal Tracker'!C489="","",COUNTIF('Deal Tracker'!$C$2:C489,'Deal Tracker'!C489))</f>
        <v/>
      </c>
      <c r="B489" s="0" t="str">
        <f aca="false">IF(A489="","",'Deal Tracker'!C489&amp;"#"&amp;A489)</f>
        <v/>
      </c>
      <c r="C489" s="0" t="str">
        <f aca="false">IF('Deal Tracker'!B489="","",'Deal Tracker'!B489&amp;IF('Deal Tracker'!D489=""," — size TBD"," — $"&amp;TEXT('Deal Tracker'!D489,"#,##0")&amp;"M"))</f>
        <v/>
      </c>
    </row>
    <row r="490" customFormat="false" ht="15" hidden="false" customHeight="false" outlineLevel="0" collapsed="false">
      <c r="A490" s="0" t="str">
        <f aca="false">IF('Deal Tracker'!C490="","",COUNTIF('Deal Tracker'!$C$2:C490,'Deal Tracker'!C490))</f>
        <v/>
      </c>
      <c r="B490" s="0" t="str">
        <f aca="false">IF(A490="","",'Deal Tracker'!C490&amp;"#"&amp;A490)</f>
        <v/>
      </c>
      <c r="C490" s="0" t="str">
        <f aca="false">IF('Deal Tracker'!B490="","",'Deal Tracker'!B490&amp;IF('Deal Tracker'!D490=""," — size TBD"," — $"&amp;TEXT('Deal Tracker'!D490,"#,##0")&amp;"M"))</f>
        <v/>
      </c>
    </row>
    <row r="491" customFormat="false" ht="15" hidden="false" customHeight="false" outlineLevel="0" collapsed="false">
      <c r="A491" s="0" t="str">
        <f aca="false">IF('Deal Tracker'!C491="","",COUNTIF('Deal Tracker'!$C$2:C491,'Deal Tracker'!C491))</f>
        <v/>
      </c>
      <c r="B491" s="0" t="str">
        <f aca="false">IF(A491="","",'Deal Tracker'!C491&amp;"#"&amp;A491)</f>
        <v/>
      </c>
      <c r="C491" s="0" t="str">
        <f aca="false">IF('Deal Tracker'!B491="","",'Deal Tracker'!B491&amp;IF('Deal Tracker'!D491=""," — size TBD"," — $"&amp;TEXT('Deal Tracker'!D491,"#,##0")&amp;"M"))</f>
        <v/>
      </c>
    </row>
    <row r="492" customFormat="false" ht="15" hidden="false" customHeight="false" outlineLevel="0" collapsed="false">
      <c r="A492" s="0" t="str">
        <f aca="false">IF('Deal Tracker'!C492="","",COUNTIF('Deal Tracker'!$C$2:C492,'Deal Tracker'!C492))</f>
        <v/>
      </c>
      <c r="B492" s="0" t="str">
        <f aca="false">IF(A492="","",'Deal Tracker'!C492&amp;"#"&amp;A492)</f>
        <v/>
      </c>
      <c r="C492" s="0" t="str">
        <f aca="false">IF('Deal Tracker'!B492="","",'Deal Tracker'!B492&amp;IF('Deal Tracker'!D492=""," — size TBD"," — $"&amp;TEXT('Deal Tracker'!D492,"#,##0")&amp;"M"))</f>
        <v/>
      </c>
    </row>
    <row r="493" customFormat="false" ht="15" hidden="false" customHeight="false" outlineLevel="0" collapsed="false">
      <c r="A493" s="0" t="str">
        <f aca="false">IF('Deal Tracker'!C493="","",COUNTIF('Deal Tracker'!$C$2:C493,'Deal Tracker'!C493))</f>
        <v/>
      </c>
      <c r="B493" s="0" t="str">
        <f aca="false">IF(A493="","",'Deal Tracker'!C493&amp;"#"&amp;A493)</f>
        <v/>
      </c>
      <c r="C493" s="0" t="str">
        <f aca="false">IF('Deal Tracker'!B493="","",'Deal Tracker'!B493&amp;IF('Deal Tracker'!D493=""," — size TBD"," — $"&amp;TEXT('Deal Tracker'!D493,"#,##0")&amp;"M"))</f>
        <v/>
      </c>
    </row>
    <row r="494" customFormat="false" ht="15" hidden="false" customHeight="false" outlineLevel="0" collapsed="false">
      <c r="A494" s="0" t="str">
        <f aca="false">IF('Deal Tracker'!C494="","",COUNTIF('Deal Tracker'!$C$2:C494,'Deal Tracker'!C494))</f>
        <v/>
      </c>
      <c r="B494" s="0" t="str">
        <f aca="false">IF(A494="","",'Deal Tracker'!C494&amp;"#"&amp;A494)</f>
        <v/>
      </c>
      <c r="C494" s="0" t="str">
        <f aca="false">IF('Deal Tracker'!B494="","",'Deal Tracker'!B494&amp;IF('Deal Tracker'!D494=""," — size TBD"," — $"&amp;TEXT('Deal Tracker'!D494,"#,##0")&amp;"M"))</f>
        <v/>
      </c>
    </row>
    <row r="495" customFormat="false" ht="15" hidden="false" customHeight="false" outlineLevel="0" collapsed="false">
      <c r="A495" s="0" t="str">
        <f aca="false">IF('Deal Tracker'!C495="","",COUNTIF('Deal Tracker'!$C$2:C495,'Deal Tracker'!C495))</f>
        <v/>
      </c>
      <c r="B495" s="0" t="str">
        <f aca="false">IF(A495="","",'Deal Tracker'!C495&amp;"#"&amp;A495)</f>
        <v/>
      </c>
      <c r="C495" s="0" t="str">
        <f aca="false">IF('Deal Tracker'!B495="","",'Deal Tracker'!B495&amp;IF('Deal Tracker'!D495=""," — size TBD"," — $"&amp;TEXT('Deal Tracker'!D495,"#,##0")&amp;"M"))</f>
        <v/>
      </c>
    </row>
    <row r="496" customFormat="false" ht="15" hidden="false" customHeight="false" outlineLevel="0" collapsed="false">
      <c r="A496" s="0" t="str">
        <f aca="false">IF('Deal Tracker'!C496="","",COUNTIF('Deal Tracker'!$C$2:C496,'Deal Tracker'!C496))</f>
        <v/>
      </c>
      <c r="B496" s="0" t="str">
        <f aca="false">IF(A496="","",'Deal Tracker'!C496&amp;"#"&amp;A496)</f>
        <v/>
      </c>
      <c r="C496" s="0" t="str">
        <f aca="false">IF('Deal Tracker'!B496="","",'Deal Tracker'!B496&amp;IF('Deal Tracker'!D496=""," — size TBD"," — $"&amp;TEXT('Deal Tracker'!D496,"#,##0")&amp;"M"))</f>
        <v/>
      </c>
    </row>
    <row r="497" customFormat="false" ht="15" hidden="false" customHeight="false" outlineLevel="0" collapsed="false">
      <c r="A497" s="0" t="str">
        <f aca="false">IF('Deal Tracker'!C497="","",COUNTIF('Deal Tracker'!$C$2:C497,'Deal Tracker'!C497))</f>
        <v/>
      </c>
      <c r="B497" s="0" t="str">
        <f aca="false">IF(A497="","",'Deal Tracker'!C497&amp;"#"&amp;A497)</f>
        <v/>
      </c>
      <c r="C497" s="0" t="str">
        <f aca="false">IF('Deal Tracker'!B497="","",'Deal Tracker'!B497&amp;IF('Deal Tracker'!D497=""," — size TBD"," — $"&amp;TEXT('Deal Tracker'!D497,"#,##0")&amp;"M"))</f>
        <v/>
      </c>
    </row>
    <row r="498" customFormat="false" ht="15" hidden="false" customHeight="false" outlineLevel="0" collapsed="false">
      <c r="A498" s="0" t="str">
        <f aca="false">IF('Deal Tracker'!C498="","",COUNTIF('Deal Tracker'!$C$2:C498,'Deal Tracker'!C498))</f>
        <v/>
      </c>
      <c r="B498" s="0" t="str">
        <f aca="false">IF(A498="","",'Deal Tracker'!C498&amp;"#"&amp;A498)</f>
        <v/>
      </c>
      <c r="C498" s="0" t="str">
        <f aca="false">IF('Deal Tracker'!B498="","",'Deal Tracker'!B498&amp;IF('Deal Tracker'!D498=""," — size TBD"," — $"&amp;TEXT('Deal Tracker'!D498,"#,##0")&amp;"M"))</f>
        <v/>
      </c>
    </row>
    <row r="499" customFormat="false" ht="15" hidden="false" customHeight="false" outlineLevel="0" collapsed="false">
      <c r="A499" s="0" t="str">
        <f aca="false">IF('Deal Tracker'!C499="","",COUNTIF('Deal Tracker'!$C$2:C499,'Deal Tracker'!C499))</f>
        <v/>
      </c>
      <c r="B499" s="0" t="str">
        <f aca="false">IF(A499="","",'Deal Tracker'!C499&amp;"#"&amp;A499)</f>
        <v/>
      </c>
      <c r="C499" s="0" t="str">
        <f aca="false">IF('Deal Tracker'!B499="","",'Deal Tracker'!B499&amp;IF('Deal Tracker'!D499=""," — size TBD"," — $"&amp;TEXT('Deal Tracker'!D499,"#,##0")&amp;"M"))</f>
        <v/>
      </c>
    </row>
    <row r="500" customFormat="false" ht="15" hidden="false" customHeight="false" outlineLevel="0" collapsed="false">
      <c r="A500" s="0" t="str">
        <f aca="false">IF('Deal Tracker'!C500="","",COUNTIF('Deal Tracker'!$C$2:C500,'Deal Tracker'!C500))</f>
        <v/>
      </c>
      <c r="B500" s="0" t="str">
        <f aca="false">IF(A500="","",'Deal Tracker'!C500&amp;"#"&amp;A500)</f>
        <v/>
      </c>
      <c r="C500" s="0" t="str">
        <f aca="false">IF('Deal Tracker'!B500="","",'Deal Tracker'!B500&amp;IF('Deal Tracker'!D500=""," — size TBD"," — $"&amp;TEXT('Deal Tracker'!D500,"#,##0")&amp;"M"))</f>
        <v/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2026-07-29T14:27:26Z</dcterms:created>
  <dc:creator>openpyxl</dc:creator>
  <dc:description/>
  <dc:language>en-US</dc:language>
  <cp:lastModifiedBy/>
  <dcterms:modified xsi:type="dcterms:W3CDTF">2026-07-29T14:27:26Z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