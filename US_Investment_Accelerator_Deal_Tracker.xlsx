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ctor Board" sheetId="1" state="visible" r:id="rId3"/>
    <sheet name="Deal Tracker" sheetId="2" state="visible" r:id="rId4"/>
    <sheet name="Dashboard" sheetId="3" state="visible" r:id="rId5"/>
    <sheet name="Reference Lists" sheetId="4" state="visible" r:id="rId6"/>
    <sheet name="Calc" sheetId="5" state="hidden" r:id="rId7"/>
  </sheets>
  <definedNames>
    <definedName function="false" hidden="true" localSheetId="1" name="_xlnm._FilterDatabase" vbProcedure="false">'Deal Tracker'!$A$1:$K$500</definedName>
    <definedName function="false" hidden="false" name="AgencyList" vbProcedure="false">'Reference Lists'!$F$5:$F$18</definedName>
    <definedName function="false" hidden="false" name="SectorList" vbProcedure="false">'Reference Lists'!$A$5:$A$13</definedName>
    <definedName function="false" hidden="false" name="StatusList" vbProcedure="false">'Reference Lists'!$C$5:$C$13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<sst xmlns="http://schemas.openxmlformats.org/spreadsheetml/2006/main" count="113" uniqueCount="85">
  <si>
    <t xml:space="preserve">U.S. INVESTMENT ACCELERATOR</t>
  </si>
  <si>
    <t xml:space="preserve">Deal pipeline by sector  ·  updates automatically from the Deal Tracker tab — enter and edit deals there</t>
  </si>
  <si>
    <t xml:space="preserve">Nuclear</t>
  </si>
  <si>
    <t xml:space="preserve">Gas</t>
  </si>
  <si>
    <t xml:space="preserve">Oil &amp; Gas Midstream</t>
  </si>
  <si>
    <t xml:space="preserve">Ships</t>
  </si>
  <si>
    <t xml:space="preserve">Minerals &amp; Metals</t>
  </si>
  <si>
    <t xml:space="preserve">Pharma</t>
  </si>
  <si>
    <t xml:space="preserve">Semiconductors</t>
  </si>
  <si>
    <t xml:space="preserve">Advanced Manufacturing</t>
  </si>
  <si>
    <t xml:space="preserve">Chemicals</t>
  </si>
  <si>
    <t xml:space="preserve">Deal #</t>
  </si>
  <si>
    <t xml:space="preserve">Company Name</t>
  </si>
  <si>
    <t xml:space="preserve">Sector</t>
  </si>
  <si>
    <t xml:space="preserve">Deal Size ($M)</t>
  </si>
  <si>
    <t xml:space="preserve">Status</t>
  </si>
  <si>
    <t xml:space="preserve">Lead Agency</t>
  </si>
  <si>
    <t xml:space="preserve">Other Agencies</t>
  </si>
  <si>
    <t xml:space="preserve">Target Close</t>
  </si>
  <si>
    <t xml:space="preserve">Accelerator Lead</t>
  </si>
  <si>
    <t xml:space="preserve">Next Steps / Notes</t>
  </si>
  <si>
    <t xml:space="preserve">Last Updated</t>
  </si>
  <si>
    <t xml:space="preserve">001</t>
  </si>
  <si>
    <t xml:space="preserve">Example NuclearCo</t>
  </si>
  <si>
    <t xml:space="preserve">Diligence</t>
  </si>
  <si>
    <t xml:space="preserve">DOE</t>
  </si>
  <si>
    <t xml:space="preserve">NRC</t>
  </si>
  <si>
    <t xml:space="preserve">EXAMPLE ROW — delete before use. Site review call w/ DOE next week</t>
  </si>
  <si>
    <t xml:space="preserve">002</t>
  </si>
  <si>
    <t xml:space="preserve">Example ShipCo</t>
  </si>
  <si>
    <t xml:space="preserve">Agency Engagement</t>
  </si>
  <si>
    <t xml:space="preserve">DOW</t>
  </si>
  <si>
    <t xml:space="preserve">EXAMPLE ROW — delete before use. Awaiting DOW program office response</t>
  </si>
  <si>
    <t xml:space="preserve">003</t>
  </si>
  <si>
    <t xml:space="preserve">Example ChipCo</t>
  </si>
  <si>
    <t xml:space="preserve">Under Review</t>
  </si>
  <si>
    <t xml:space="preserve">EXAMPLE ROW — delete before use. Initial materials received</t>
  </si>
  <si>
    <t xml:space="preserve">DASHBOARD — PIPELINE SUMMARY</t>
  </si>
  <si>
    <t xml:space="preserve">Updates automatically from the Deal Tracker tab.</t>
  </si>
  <si>
    <t xml:space="preserve">PIPELINE BY SECTOR</t>
  </si>
  <si>
    <t xml:space="preserve">PIPELINE BY STATUS</t>
  </si>
  <si>
    <t xml:space="preserve">DEALS BY LEAD AGENCY</t>
  </si>
  <si>
    <t xml:space="preserve"># Deals</t>
  </si>
  <si>
    <t xml:space="preserve">Total ($M)</t>
  </si>
  <si>
    <t xml:space="preserve">Agency</t>
  </si>
  <si>
    <t xml:space="preserve">Total</t>
  </si>
  <si>
    <t xml:space="preserve">REFERENCE LISTS</t>
  </si>
  <si>
    <t xml:space="preserve">These lists power the dropdowns on the Deal Tracker. Edit them to customize the template.</t>
  </si>
  <si>
    <t xml:space="preserve">SECTORS</t>
  </si>
  <si>
    <t xml:space="preserve">DEAL STATUSES</t>
  </si>
  <si>
    <t xml:space="preserve">DEFINITION</t>
  </si>
  <si>
    <t xml:space="preserve">AGENCIES</t>
  </si>
  <si>
    <t xml:space="preserve">SECTOR</t>
  </si>
  <si>
    <t xml:space="preserve">TYPICAL AGENCIES</t>
  </si>
  <si>
    <t xml:space="preserve">Intake</t>
  </si>
  <si>
    <t xml:space="preserve">New deal, initial information gathering</t>
  </si>
  <si>
    <t xml:space="preserve">Accelerator evaluating the opportunity</t>
  </si>
  <si>
    <t xml:space="preserve">Coordinating with the relevant agencies</t>
  </si>
  <si>
    <t xml:space="preserve">Detailed review underway</t>
  </si>
  <si>
    <t xml:space="preserve">Negotiating Terms</t>
  </si>
  <si>
    <t xml:space="preserve">Structure and terms being negotiated</t>
  </si>
  <si>
    <t xml:space="preserve">Committed / Announced</t>
  </si>
  <si>
    <t xml:space="preserve">Deal agreed or publicly announced</t>
  </si>
  <si>
    <t xml:space="preserve">Closed</t>
  </si>
  <si>
    <t xml:space="preserve">Deal complete</t>
  </si>
  <si>
    <t xml:space="preserve">On Hold</t>
  </si>
  <si>
    <t xml:space="preserve">Paused</t>
  </si>
  <si>
    <t xml:space="preserve">Withdrawn</t>
  </si>
  <si>
    <t xml:space="preserve">No longer proceeding</t>
  </si>
  <si>
    <t xml:space="preserve">Add agencies in the blank slots above — they feed the Lead Agency dropdown automatically.</t>
  </si>
  <si>
    <t xml:space="preserve">HOW TO USE THIS TEMPLATE</t>
  </si>
  <si>
    <t xml:space="preserve">1.  Enter each deal as a row on the Deal Tracker tab. Sector, Status, and Lead Agency are dropdowns.</t>
  </si>
  <si>
    <t xml:space="preserve">2.  The Sector Board and Dashboard tabs fill in automatically — never type on those two tabs.</t>
  </si>
  <si>
    <t xml:space="preserve">3.  Each Sector Board card shows the company, deal size, agencies, and target close date.</t>
  </si>
  <si>
    <t xml:space="preserve">4.  Three EXAMPLE rows (gray italic) are on the Deal Tracker — delete them before entering real deals.</t>
  </si>
  <si>
    <t xml:space="preserve">5.  Add your agencies in the AGENCIES list above, and fill in the Sector → Typical Agencies map as you go.</t>
  </si>
  <si>
    <t xml:space="preserve">6.  Deal sizes are entered in $ millions (a $2.5B deal is entered as 2500).</t>
  </si>
  <si>
    <t xml:space="preserve">7.  Optional: add a logo via Insert &gt; Pictures on the Sector Board — the top-right corner is kept clear for it.</t>
  </si>
  <si>
    <t xml:space="preserve">Seq</t>
  </si>
  <si>
    <t xml:space="preserve">Key</t>
  </si>
  <si>
    <t xml:space="preserve">Company</t>
  </si>
  <si>
    <t xml:space="preserve">Size</t>
  </si>
  <si>
    <t xml:space="preserve">Detail</t>
  </si>
  <si>
    <t xml:space="preserve">Agencies</t>
  </si>
  <si>
    <t xml:space="preserve">Target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</si>
</sst>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"/>
    <numFmt numFmtId="167" formatCode="mm/dd/yy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9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.5"/>
      <color rgb="FFFFFFFF"/>
      <name val="Arial"/>
      <family val="0"/>
      <charset val="1"/>
    </font>
    <font>
      <i val="true"/>
      <sz val="9"/>
      <color rgb="FF1F4E78"/>
      <name val="Arial"/>
      <family val="0"/>
      <charset val="1"/>
    </font>
    <font>
      <i val="true"/>
      <sz val="9"/>
      <color rgb="FF2E6C6A"/>
      <name val="Arial"/>
      <family val="0"/>
      <charset val="1"/>
    </font>
    <font>
      <i val="true"/>
      <sz val="9"/>
      <color rgb="FF8C6A20"/>
      <name val="Arial"/>
      <family val="0"/>
      <charset val="1"/>
    </font>
    <font>
      <sz val="10"/>
      <color rgb="FF262626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sz val="8.5"/>
      <color rgb="FF808080"/>
      <name val="Arial"/>
      <family val="0"/>
      <charset val="1"/>
    </font>
    <font>
      <i val="true"/>
      <sz val="8.5"/>
      <color rgb="FF808080"/>
      <name val="Arial"/>
      <family val="0"/>
      <charset val="1"/>
    </font>
    <font>
      <i val="true"/>
      <sz val="9"/>
      <color rgb="FF6E3A4F"/>
      <name val="Arial"/>
      <family val="0"/>
      <charset val="1"/>
    </font>
    <font>
      <i val="true"/>
      <sz val="9"/>
      <color rgb="FF5C4A72"/>
      <name val="Arial"/>
      <family val="0"/>
      <charset val="1"/>
    </font>
    <font>
      <i val="true"/>
      <sz val="9"/>
      <color rgb="FF2F6B3C"/>
      <name val="Arial"/>
      <family val="0"/>
      <charset val="1"/>
    </font>
    <font>
      <i val="true"/>
      <sz val="9"/>
      <color rgb="FF3E5C76"/>
      <name val="Arial"/>
      <family val="0"/>
      <charset val="1"/>
    </font>
    <font>
      <i val="true"/>
      <sz val="9"/>
      <color rgb="FF7A4A2B"/>
      <name val="Arial"/>
      <family val="0"/>
      <charset val="1"/>
    </font>
    <font>
      <i val="true"/>
      <sz val="9"/>
      <color rgb="FF4A674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1F4E78"/>
        <bgColor rgb="FF3E5C76"/>
      </patternFill>
    </fill>
    <fill>
      <patternFill patternType="solid">
        <fgColor rgb="FF2E6C6A"/>
        <bgColor rgb="FF2F6B3C"/>
      </patternFill>
    </fill>
    <fill>
      <patternFill patternType="solid">
        <fgColor rgb="FF8C6A20"/>
        <bgColor rgb="FF7A4A2B"/>
      </patternFill>
    </fill>
    <fill>
      <patternFill patternType="solid">
        <fgColor rgb="FFE4E9EE"/>
        <bgColor rgb="FFE7EBEE"/>
      </patternFill>
    </fill>
    <fill>
      <patternFill patternType="solid">
        <fgColor rgb="FFE5EDED"/>
        <bgColor rgb="FFE7EBEE"/>
      </patternFill>
    </fill>
    <fill>
      <patternFill patternType="solid">
        <fgColor rgb="FFF1EDE4"/>
        <bgColor rgb="FFEFE9E5"/>
      </patternFill>
    </fill>
    <fill>
      <patternFill patternType="solid">
        <fgColor rgb="FF6E3A4F"/>
        <bgColor rgb="FF7A4A2B"/>
      </patternFill>
    </fill>
    <fill>
      <patternFill patternType="solid">
        <fgColor rgb="FF5C4A72"/>
        <bgColor rgb="FF595959"/>
      </patternFill>
    </fill>
    <fill>
      <patternFill patternType="solid">
        <fgColor rgb="FF2F6B3C"/>
        <bgColor rgb="FF4A6741"/>
      </patternFill>
    </fill>
    <fill>
      <patternFill patternType="solid">
        <fgColor rgb="FFEDE7E9"/>
        <bgColor rgb="FFEFE9E5"/>
      </patternFill>
    </fill>
    <fill>
      <patternFill patternType="solid">
        <fgColor rgb="FFEBE9EE"/>
        <bgColor rgb="FFEDE7E9"/>
      </patternFill>
    </fill>
    <fill>
      <patternFill patternType="solid">
        <fgColor rgb="FFE6EDE7"/>
        <bgColor rgb="FFE9ECE8"/>
      </patternFill>
    </fill>
    <fill>
      <patternFill patternType="solid">
        <fgColor rgb="FF3E5C76"/>
        <bgColor rgb="FF2E6C6A"/>
      </patternFill>
    </fill>
    <fill>
      <patternFill patternType="solid">
        <fgColor rgb="FF7A4A2B"/>
        <bgColor rgb="FF6E3A4F"/>
      </patternFill>
    </fill>
    <fill>
      <patternFill patternType="solid">
        <fgColor rgb="FF4A6741"/>
        <bgColor rgb="FF2F6B3C"/>
      </patternFill>
    </fill>
    <fill>
      <patternFill patternType="solid">
        <fgColor rgb="FFE7EBEE"/>
        <bgColor rgb="FFE5EDED"/>
      </patternFill>
    </fill>
    <fill>
      <patternFill patternType="solid">
        <fgColor rgb="FFEFE9E5"/>
        <bgColor rgb="FFEDE7E9"/>
      </patternFill>
    </fill>
    <fill>
      <patternFill patternType="solid">
        <fgColor rgb="FFE9ECE8"/>
        <bgColor rgb="FFE6EDE7"/>
      </patternFill>
    </fill>
    <fill>
      <patternFill patternType="solid">
        <fgColor rgb="FFF2F6FA"/>
        <bgColor rgb="FFF1EDE4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4E78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/>
      <diagonal/>
    </border>
    <border diagonalUp="false" diagonalDown="false">
      <left style="thin">
        <color rgb="FFBFBFBF"/>
      </left>
      <right style="thin">
        <color rgb="FFBFBFBF"/>
      </right>
      <top/>
      <bottom style="hair">
        <color rgb="FFD9D9D9"/>
      </bottom>
      <diagonal/>
    </border>
    <border diagonalUp="false" diagonalDown="false">
      <left style="thin">
        <color rgb="FFBFBFBF"/>
      </left>
      <right/>
      <top/>
      <bottom/>
      <diagonal/>
    </border>
    <border diagonalUp="false" diagonalDown="false">
      <left/>
      <right style="thin">
        <color rgb="FFBFBFBF"/>
      </right>
      <top/>
      <bottom/>
      <diagonal/>
    </border>
    <border diagonalUp="false" diagonalDown="false"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 diagonalUp="false" diagonalDown="false">
      <left/>
      <right/>
      <top/>
      <bottom style="hair">
        <color rgb="FFD9D9D9"/>
      </bottom>
      <diagonal/>
    </border>
    <border diagonalUp="false" diagonalDown="false">
      <left/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1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top" textRotation="0" wrapText="false" indent="1" shrinkToFit="false"/>
      <protection locked="true" hidden="false"/>
    </xf>
    <xf numFmtId="164" fontId="13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1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1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1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22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2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2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22" fillId="2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2" fillId="2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2" fillId="2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2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2" fillId="0" borderId="7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6" fontId="22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8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6" fontId="2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6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6FA"/>
      <rgbColor rgb="FFFF00FF"/>
      <rgbColor rgb="FF00FFFF"/>
      <rgbColor rgb="FF800000"/>
      <rgbColor rgb="FF2F6B3C"/>
      <rgbColor rgb="FF000080"/>
      <rgbColor rgb="FF8C6A20"/>
      <rgbColor rgb="FF800080"/>
      <rgbColor rgb="FF2E6C6A"/>
      <rgbColor rgb="FFBFBFBF"/>
      <rgbColor rgb="FF808080"/>
      <rgbColor rgb="FF9999FF"/>
      <rgbColor rgb="FF6E3A4F"/>
      <rgbColor rgb="FFF1EDE4"/>
      <rgbColor rgb="FFE5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3E5C76"/>
      <rgbColor rgb="FF0000FF"/>
      <rgbColor rgb="FF00CCFF"/>
      <rgbColor rgb="FFE6EDE7"/>
      <rgbColor rgb="FFE9ECE8"/>
      <rgbColor rgb="FFEFE9E5"/>
      <rgbColor rgb="FFE4E9EE"/>
      <rgbColor rgb="FFEBE9EE"/>
      <rgbColor rgb="FFE7EBEE"/>
      <rgbColor rgb="FFEDE7E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4A6741"/>
      <rgbColor rgb="FF003300"/>
      <rgbColor rgb="FF333300"/>
      <rgbColor rgb="FF7A4A2B"/>
      <rgbColor rgb="FF5C4A72"/>
      <rgbColor rgb="FF1F4E78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B1:I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2.5"/>
    <col collapsed="false" customWidth="true" hidden="false" outlineLevel="0" max="5" min="5" style="0" width="30"/>
    <col collapsed="false" customWidth="true" hidden="false" outlineLevel="0" max="6" min="6" style="0" width="11"/>
    <col collapsed="false" customWidth="true" hidden="false" outlineLevel="0" max="7" min="7" style="0" width="2.5"/>
    <col collapsed="false" customWidth="true" hidden="false" outlineLevel="0" max="8" min="8" style="0" width="30"/>
    <col collapsed="false" customWidth="true" hidden="false" outlineLevel="0" max="9" min="9" style="0" width="11"/>
    <col collapsed="false" customWidth="true" hidden="false" outlineLevel="0" max="10" min="10" style="0" width="2"/>
  </cols>
  <sheetData>
    <row r="1" customFormat="false" ht="7.5" hidden="false" customHeight="true" outlineLevel="0" collapsed="false"/>
    <row r="2" customFormat="false" ht="25.5" hidden="false" customHeight="true" outlineLevel="0" collapsed="false">
      <c r="B2" s="1" t="s">
        <v>0</v>
      </c>
    </row>
    <row r="3" customFormat="false" ht="15" hidden="false" customHeight="true" outlineLevel="0" collapsed="false">
      <c r="B3" s="2" t="s">
        <v>1</v>
      </c>
    </row>
    <row r="4" customFormat="false" ht="6" hidden="false" customHeight="true" outlineLevel="0" collapsed="false">
      <c r="B4" s="3"/>
      <c r="C4" s="3"/>
      <c r="D4" s="3"/>
      <c r="E4" s="3"/>
      <c r="F4" s="3"/>
    </row>
    <row r="5" customFormat="false" ht="7.5" hidden="false" customHeight="true" outlineLevel="0" collapsed="false"/>
    <row r="6" customFormat="false" ht="21.75" hidden="false" customHeight="true" outlineLevel="0" collapsed="false">
      <c r="B6" s="4" t="s">
        <v>2</v>
      </c>
      <c r="C6" s="4"/>
      <c r="E6" s="5" t="s">
        <v>3</v>
      </c>
      <c r="F6" s="5"/>
      <c r="H6" s="6" t="s">
        <v>4</v>
      </c>
      <c r="I6" s="6"/>
    </row>
    <row r="7" customFormat="false" ht="15.75" hidden="false" customHeight="true" outlineLevel="0" collapsed="false">
      <c r="B7" s="7" t="str">
        <f aca="false">IF(COUNTIF('Deal Tracker'!$C$2:$C$500,$B$6)=0,"No deals yet",COUNTIF('Deal Tracker'!$C$2:$C$500,$B$6)&amp;IF(COUNTIF('Deal Tracker'!$C$2:$C$500,$B$6)=1," deal  ·  "," deals  ·  ")&amp;IF(SUMIF('Deal Tracker'!$C$2:$C$500,$B$6,'Deal Tracker'!$D$2:$D$500)&gt;=1000,"$"&amp;TEXT(SUMIF('Deal Tracker'!$C$2:$C$500,$B$6,'Deal Tracker'!$D$2:$D$500)/1000,"#,##0.0")&amp;"B","$"&amp;TEXT(SUMIF('Deal Tracker'!$C$2:$C$500,$B$6,'Deal Tracker'!$D$2:$D$500),"#,##0")&amp;"M"))</f>
        <v>1 deal  ·  $2.5B</v>
      </c>
      <c r="C7" s="7"/>
      <c r="E7" s="8" t="str">
        <f aca="false">IF(COUNTIF('Deal Tracker'!$C$2:$C$500,$E$6)=0,"No deals yet",COUNTIF('Deal Tracker'!$C$2:$C$500,$E$6)&amp;IF(COUNTIF('Deal Tracker'!$C$2:$C$500,$E$6)=1," deal  ·  "," deals  ·  ")&amp;IF(SUMIF('Deal Tracker'!$C$2:$C$500,$E$6,'Deal Tracker'!$D$2:$D$500)&gt;=1000,"$"&amp;TEXT(SUMIF('Deal Tracker'!$C$2:$C$500,$E$6,'Deal Tracker'!$D$2:$D$500)/1000,"#,##0.0")&amp;"B","$"&amp;TEXT(SUMIF('Deal Tracker'!$C$2:$C$500,$E$6,'Deal Tracker'!$D$2:$D$500),"#,##0")&amp;"M"))</f>
        <v>No deals yet</v>
      </c>
      <c r="F7" s="8"/>
      <c r="H7" s="9" t="str">
        <f aca="false">IF(COUNTIF('Deal Tracker'!$C$2:$C$500,$H$6)=0,"No deals yet",COUNTIF('Deal Tracker'!$C$2:$C$500,$H$6)&amp;IF(COUNTIF('Deal Tracker'!$C$2:$C$500,$H$6)=1," deal  ·  "," deals  ·  ")&amp;IF(SUMIF('Deal Tracker'!$C$2:$C$500,$H$6,'Deal Tracker'!$D$2:$D$500)&gt;=1000,"$"&amp;TEXT(SUMIF('Deal Tracker'!$C$2:$C$500,$H$6,'Deal Tracker'!$D$2:$D$500)/1000,"#,##0.0")&amp;"B","$"&amp;TEXT(SUMIF('Deal Tracker'!$C$2:$C$500,$H$6,'Deal Tracker'!$D$2:$D$500),"#,##0")&amp;"M"))</f>
        <v>No deals yet</v>
      </c>
      <c r="I7" s="9"/>
    </row>
    <row r="8" customFormat="false" ht="15" hidden="false" customHeight="true" outlineLevel="0" collapsed="false">
      <c r="B8" s="10" t="str">
        <f aca="false">IFERROR(INDEX(Calc!$C$2:$C$500,MATCH($B$6&amp;"#"&amp;1,Calc!$B$2:$B$500,0)),"")</f>
        <v>Example NuclearCo</v>
      </c>
      <c r="C8" s="11" t="str">
        <f aca="false">IFERROR(INDEX(Calc!$D$2:$D$500,MATCH($B$6&amp;"#"&amp;1,Calc!$B$2:$B$500,0)),"")</f>
        <v>$2,500M</v>
      </c>
      <c r="E8" s="10" t="str">
        <f aca="false">IFERROR(INDEX(Calc!$C$2:$C$500,MATCH($E$6&amp;"#"&amp;1,Calc!$B$2:$B$500,0)),"")</f>
        <v/>
      </c>
      <c r="F8" s="11" t="str">
        <f aca="false">IFERROR(INDEX(Calc!$D$2:$D$500,MATCH($E$6&amp;"#"&amp;1,Calc!$B$2:$B$500,0)),"")</f>
        <v/>
      </c>
      <c r="H8" s="10" t="str">
        <f aca="false">IFERROR(INDEX(Calc!$C$2:$C$500,MATCH($H$6&amp;"#"&amp;1,Calc!$B$2:$B$500,0)),"")</f>
        <v/>
      </c>
      <c r="I8" s="11" t="str">
        <f aca="false">IFERROR(INDEX(Calc!$D$2:$D$500,MATCH($H$6&amp;"#"&amp;1,Calc!$B$2:$B$500,0)),"")</f>
        <v/>
      </c>
    </row>
    <row r="9" customFormat="false" ht="12.75" hidden="false" customHeight="true" outlineLevel="0" collapsed="false">
      <c r="B9" s="12" t="str">
        <f aca="false">IFERROR(INDEX(Calc!$E$2:$E$500,MATCH($B$6&amp;"#"&amp;1,Calc!$B$2:$B$500,0)),"")</f>
        <v>DOE, NRC  ·  Target: Nov 2026</v>
      </c>
      <c r="C9" s="12"/>
      <c r="E9" s="12" t="str">
        <f aca="false">IFERROR(INDEX(Calc!$E$2:$E$500,MATCH($E$6&amp;"#"&amp;1,Calc!$B$2:$B$500,0)),"")</f>
        <v/>
      </c>
      <c r="F9" s="12"/>
      <c r="H9" s="12" t="str">
        <f aca="false">IFERROR(INDEX(Calc!$E$2:$E$500,MATCH($H$6&amp;"#"&amp;1,Calc!$B$2:$B$500,0)),"")</f>
        <v/>
      </c>
      <c r="I9" s="12"/>
    </row>
    <row r="10" customFormat="false" ht="15" hidden="false" customHeight="true" outlineLevel="0" collapsed="false">
      <c r="B10" s="10" t="str">
        <f aca="false">IFERROR(INDEX(Calc!$C$2:$C$500,MATCH($B$6&amp;"#"&amp;2,Calc!$B$2:$B$500,0)),"")</f>
        <v/>
      </c>
      <c r="C10" s="11" t="str">
        <f aca="false">IFERROR(INDEX(Calc!$D$2:$D$500,MATCH($B$6&amp;"#"&amp;2,Calc!$B$2:$B$500,0)),"")</f>
        <v/>
      </c>
      <c r="E10" s="10" t="str">
        <f aca="false">IFERROR(INDEX(Calc!$C$2:$C$500,MATCH($E$6&amp;"#"&amp;2,Calc!$B$2:$B$500,0)),"")</f>
        <v/>
      </c>
      <c r="F10" s="11" t="str">
        <f aca="false">IFERROR(INDEX(Calc!$D$2:$D$500,MATCH($E$6&amp;"#"&amp;2,Calc!$B$2:$B$500,0)),"")</f>
        <v/>
      </c>
      <c r="H10" s="10" t="str">
        <f aca="false">IFERROR(INDEX(Calc!$C$2:$C$500,MATCH($H$6&amp;"#"&amp;2,Calc!$B$2:$B$500,0)),"")</f>
        <v/>
      </c>
      <c r="I10" s="11" t="str">
        <f aca="false">IFERROR(INDEX(Calc!$D$2:$D$500,MATCH($H$6&amp;"#"&amp;2,Calc!$B$2:$B$500,0)),"")</f>
        <v/>
      </c>
    </row>
    <row r="11" customFormat="false" ht="12.75" hidden="false" customHeight="true" outlineLevel="0" collapsed="false">
      <c r="B11" s="12" t="str">
        <f aca="false">IFERROR(INDEX(Calc!$E$2:$E$500,MATCH($B$6&amp;"#"&amp;2,Calc!$B$2:$B$500,0)),"")</f>
        <v/>
      </c>
      <c r="C11" s="12"/>
      <c r="E11" s="12" t="str">
        <f aca="false">IFERROR(INDEX(Calc!$E$2:$E$500,MATCH($E$6&amp;"#"&amp;2,Calc!$B$2:$B$500,0)),"")</f>
        <v/>
      </c>
      <c r="F11" s="12"/>
      <c r="H11" s="12" t="str">
        <f aca="false">IFERROR(INDEX(Calc!$E$2:$E$500,MATCH($H$6&amp;"#"&amp;2,Calc!$B$2:$B$500,0)),"")</f>
        <v/>
      </c>
      <c r="I11" s="12"/>
    </row>
    <row r="12" customFormat="false" ht="15" hidden="false" customHeight="true" outlineLevel="0" collapsed="false">
      <c r="B12" s="10" t="str">
        <f aca="false">IFERROR(INDEX(Calc!$C$2:$C$500,MATCH($B$6&amp;"#"&amp;3,Calc!$B$2:$B$500,0)),"")</f>
        <v/>
      </c>
      <c r="C12" s="11" t="str">
        <f aca="false">IFERROR(INDEX(Calc!$D$2:$D$500,MATCH($B$6&amp;"#"&amp;3,Calc!$B$2:$B$500,0)),"")</f>
        <v/>
      </c>
      <c r="E12" s="10" t="str">
        <f aca="false">IFERROR(INDEX(Calc!$C$2:$C$500,MATCH($E$6&amp;"#"&amp;3,Calc!$B$2:$B$500,0)),"")</f>
        <v/>
      </c>
      <c r="F12" s="11" t="str">
        <f aca="false">IFERROR(INDEX(Calc!$D$2:$D$500,MATCH($E$6&amp;"#"&amp;3,Calc!$B$2:$B$500,0)),"")</f>
        <v/>
      </c>
      <c r="H12" s="10" t="str">
        <f aca="false">IFERROR(INDEX(Calc!$C$2:$C$500,MATCH($H$6&amp;"#"&amp;3,Calc!$B$2:$B$500,0)),"")</f>
        <v/>
      </c>
      <c r="I12" s="11" t="str">
        <f aca="false">IFERROR(INDEX(Calc!$D$2:$D$500,MATCH($H$6&amp;"#"&amp;3,Calc!$B$2:$B$500,0)),"")</f>
        <v/>
      </c>
    </row>
    <row r="13" customFormat="false" ht="12.75" hidden="false" customHeight="true" outlineLevel="0" collapsed="false">
      <c r="B13" s="12" t="str">
        <f aca="false">IFERROR(INDEX(Calc!$E$2:$E$500,MATCH($B$6&amp;"#"&amp;3,Calc!$B$2:$B$500,0)),"")</f>
        <v/>
      </c>
      <c r="C13" s="12"/>
      <c r="E13" s="12" t="str">
        <f aca="false">IFERROR(INDEX(Calc!$E$2:$E$500,MATCH($E$6&amp;"#"&amp;3,Calc!$B$2:$B$500,0)),"")</f>
        <v/>
      </c>
      <c r="F13" s="12"/>
      <c r="H13" s="12" t="str">
        <f aca="false">IFERROR(INDEX(Calc!$E$2:$E$500,MATCH($H$6&amp;"#"&amp;3,Calc!$B$2:$B$500,0)),"")</f>
        <v/>
      </c>
      <c r="I13" s="12"/>
    </row>
    <row r="14" customFormat="false" ht="15" hidden="false" customHeight="true" outlineLevel="0" collapsed="false">
      <c r="B14" s="10" t="str">
        <f aca="false">IFERROR(INDEX(Calc!$C$2:$C$500,MATCH($B$6&amp;"#"&amp;4,Calc!$B$2:$B$500,0)),"")</f>
        <v/>
      </c>
      <c r="C14" s="11" t="str">
        <f aca="false">IFERROR(INDEX(Calc!$D$2:$D$500,MATCH($B$6&amp;"#"&amp;4,Calc!$B$2:$B$500,0)),"")</f>
        <v/>
      </c>
      <c r="E14" s="10" t="str">
        <f aca="false">IFERROR(INDEX(Calc!$C$2:$C$500,MATCH($E$6&amp;"#"&amp;4,Calc!$B$2:$B$500,0)),"")</f>
        <v/>
      </c>
      <c r="F14" s="11" t="str">
        <f aca="false">IFERROR(INDEX(Calc!$D$2:$D$500,MATCH($E$6&amp;"#"&amp;4,Calc!$B$2:$B$500,0)),"")</f>
        <v/>
      </c>
      <c r="H14" s="10" t="str">
        <f aca="false">IFERROR(INDEX(Calc!$C$2:$C$500,MATCH($H$6&amp;"#"&amp;4,Calc!$B$2:$B$500,0)),"")</f>
        <v/>
      </c>
      <c r="I14" s="11" t="str">
        <f aca="false">IFERROR(INDEX(Calc!$D$2:$D$500,MATCH($H$6&amp;"#"&amp;4,Calc!$B$2:$B$500,0)),"")</f>
        <v/>
      </c>
    </row>
    <row r="15" customFormat="false" ht="12.75" hidden="false" customHeight="true" outlineLevel="0" collapsed="false">
      <c r="B15" s="12" t="str">
        <f aca="false">IFERROR(INDEX(Calc!$E$2:$E$500,MATCH($B$6&amp;"#"&amp;4,Calc!$B$2:$B$500,0)),"")</f>
        <v/>
      </c>
      <c r="C15" s="12"/>
      <c r="E15" s="12" t="str">
        <f aca="false">IFERROR(INDEX(Calc!$E$2:$E$500,MATCH($E$6&amp;"#"&amp;4,Calc!$B$2:$B$500,0)),"")</f>
        <v/>
      </c>
      <c r="F15" s="12"/>
      <c r="H15" s="12" t="str">
        <f aca="false">IFERROR(INDEX(Calc!$E$2:$E$500,MATCH($H$6&amp;"#"&amp;4,Calc!$B$2:$B$500,0)),"")</f>
        <v/>
      </c>
      <c r="I15" s="12"/>
    </row>
    <row r="16" customFormat="false" ht="15" hidden="false" customHeight="true" outlineLevel="0" collapsed="false">
      <c r="B16" s="10" t="str">
        <f aca="false">IFERROR(INDEX(Calc!$C$2:$C$500,MATCH($B$6&amp;"#"&amp;5,Calc!$B$2:$B$500,0)),"")</f>
        <v/>
      </c>
      <c r="C16" s="11" t="str">
        <f aca="false">IFERROR(INDEX(Calc!$D$2:$D$500,MATCH($B$6&amp;"#"&amp;5,Calc!$B$2:$B$500,0)),"")</f>
        <v/>
      </c>
      <c r="E16" s="10" t="str">
        <f aca="false">IFERROR(INDEX(Calc!$C$2:$C$500,MATCH($E$6&amp;"#"&amp;5,Calc!$B$2:$B$500,0)),"")</f>
        <v/>
      </c>
      <c r="F16" s="11" t="str">
        <f aca="false">IFERROR(INDEX(Calc!$D$2:$D$500,MATCH($E$6&amp;"#"&amp;5,Calc!$B$2:$B$500,0)),"")</f>
        <v/>
      </c>
      <c r="H16" s="10" t="str">
        <f aca="false">IFERROR(INDEX(Calc!$C$2:$C$500,MATCH($H$6&amp;"#"&amp;5,Calc!$B$2:$B$500,0)),"")</f>
        <v/>
      </c>
      <c r="I16" s="11" t="str">
        <f aca="false">IFERROR(INDEX(Calc!$D$2:$D$500,MATCH($H$6&amp;"#"&amp;5,Calc!$B$2:$B$500,0)),"")</f>
        <v/>
      </c>
    </row>
    <row r="17" customFormat="false" ht="12.75" hidden="false" customHeight="true" outlineLevel="0" collapsed="false">
      <c r="B17" s="12" t="str">
        <f aca="false">IFERROR(INDEX(Calc!$E$2:$E$500,MATCH($B$6&amp;"#"&amp;5,Calc!$B$2:$B$500,0)),"")</f>
        <v/>
      </c>
      <c r="C17" s="12"/>
      <c r="E17" s="12" t="str">
        <f aca="false">IFERROR(INDEX(Calc!$E$2:$E$500,MATCH($E$6&amp;"#"&amp;5,Calc!$B$2:$B$500,0)),"")</f>
        <v/>
      </c>
      <c r="F17" s="12"/>
      <c r="H17" s="12" t="str">
        <f aca="false">IFERROR(INDEX(Calc!$E$2:$E$500,MATCH($H$6&amp;"#"&amp;5,Calc!$B$2:$B$500,0)),"")</f>
        <v/>
      </c>
      <c r="I17" s="12"/>
    </row>
    <row r="18" customFormat="false" ht="15" hidden="false" customHeight="true" outlineLevel="0" collapsed="false">
      <c r="B18" s="10" t="str">
        <f aca="false">IFERROR(INDEX(Calc!$C$2:$C$500,MATCH($B$6&amp;"#"&amp;6,Calc!$B$2:$B$500,0)),"")</f>
        <v/>
      </c>
      <c r="C18" s="11" t="str">
        <f aca="false">IFERROR(INDEX(Calc!$D$2:$D$500,MATCH($B$6&amp;"#"&amp;6,Calc!$B$2:$B$500,0)),"")</f>
        <v/>
      </c>
      <c r="E18" s="10" t="str">
        <f aca="false">IFERROR(INDEX(Calc!$C$2:$C$500,MATCH($E$6&amp;"#"&amp;6,Calc!$B$2:$B$500,0)),"")</f>
        <v/>
      </c>
      <c r="F18" s="11" t="str">
        <f aca="false">IFERROR(INDEX(Calc!$D$2:$D$500,MATCH($E$6&amp;"#"&amp;6,Calc!$B$2:$B$500,0)),"")</f>
        <v/>
      </c>
      <c r="H18" s="10" t="str">
        <f aca="false">IFERROR(INDEX(Calc!$C$2:$C$500,MATCH($H$6&amp;"#"&amp;6,Calc!$B$2:$B$500,0)),"")</f>
        <v/>
      </c>
      <c r="I18" s="11" t="str">
        <f aca="false">IFERROR(INDEX(Calc!$D$2:$D$500,MATCH($H$6&amp;"#"&amp;6,Calc!$B$2:$B$500,0)),"")</f>
        <v/>
      </c>
    </row>
    <row r="19" customFormat="false" ht="12.75" hidden="false" customHeight="true" outlineLevel="0" collapsed="false">
      <c r="B19" s="12" t="str">
        <f aca="false">IFERROR(INDEX(Calc!$E$2:$E$500,MATCH($B$6&amp;"#"&amp;6,Calc!$B$2:$B$500,0)),"")</f>
        <v/>
      </c>
      <c r="C19" s="12"/>
      <c r="E19" s="12" t="str">
        <f aca="false">IFERROR(INDEX(Calc!$E$2:$E$500,MATCH($E$6&amp;"#"&amp;6,Calc!$B$2:$B$500,0)),"")</f>
        <v/>
      </c>
      <c r="F19" s="12"/>
      <c r="H19" s="12" t="str">
        <f aca="false">IFERROR(INDEX(Calc!$E$2:$E$500,MATCH($H$6&amp;"#"&amp;6,Calc!$B$2:$B$500,0)),"")</f>
        <v/>
      </c>
      <c r="I19" s="12"/>
    </row>
    <row r="20" customFormat="false" ht="15" hidden="false" customHeight="true" outlineLevel="0" collapsed="false">
      <c r="B20" s="13" t="str">
        <f aca="false">IF(COUNTIF('Deal Tracker'!$C$2:$C$500,$B$6)&gt;6,"+"&amp;(COUNTIF('Deal Tracker'!$C$2:$C$500,$B$6)-6)&amp;" more — see Deal Tracker","")</f>
        <v/>
      </c>
      <c r="C20" s="13"/>
      <c r="E20" s="13" t="str">
        <f aca="false">IF(COUNTIF('Deal Tracker'!$C$2:$C$500,$E$6)&gt;6,"+"&amp;(COUNTIF('Deal Tracker'!$C$2:$C$500,$E$6)-6)&amp;" more — see Deal Tracker","")</f>
        <v/>
      </c>
      <c r="F20" s="13"/>
      <c r="H20" s="13" t="str">
        <f aca="false">IF(COUNTIF('Deal Tracker'!$C$2:$C$500,$H$6)&gt;6,"+"&amp;(COUNTIF('Deal Tracker'!$C$2:$C$500,$H$6)-6)&amp;" more — see Deal Tracker","")</f>
        <v/>
      </c>
      <c r="I20" s="13"/>
    </row>
    <row r="21" customFormat="false" ht="9" hidden="false" customHeight="true" outlineLevel="0" collapsed="false"/>
    <row r="22" customFormat="false" ht="9" hidden="false" customHeight="true" outlineLevel="0" collapsed="false"/>
    <row r="23" customFormat="false" ht="21.75" hidden="false" customHeight="true" outlineLevel="0" collapsed="false">
      <c r="B23" s="14" t="s">
        <v>5</v>
      </c>
      <c r="C23" s="14"/>
      <c r="E23" s="15" t="s">
        <v>6</v>
      </c>
      <c r="F23" s="15"/>
      <c r="H23" s="16" t="s">
        <v>7</v>
      </c>
      <c r="I23" s="16"/>
    </row>
    <row r="24" customFormat="false" ht="15.75" hidden="false" customHeight="true" outlineLevel="0" collapsed="false">
      <c r="B24" s="17" t="str">
        <f aca="false">IF(COUNTIF('Deal Tracker'!$C$2:$C$500,$B$23)=0,"No deals yet",COUNTIF('Deal Tracker'!$C$2:$C$500,$B$23)&amp;IF(COUNTIF('Deal Tracker'!$C$2:$C$500,$B$23)=1," deal  ·  "," deals  ·  ")&amp;IF(SUMIF('Deal Tracker'!$C$2:$C$500,$B$23,'Deal Tracker'!$D$2:$D$500)&gt;=1000,"$"&amp;TEXT(SUMIF('Deal Tracker'!$C$2:$C$500,$B$23,'Deal Tracker'!$D$2:$D$500)/1000,"#,##0.0")&amp;"B","$"&amp;TEXT(SUMIF('Deal Tracker'!$C$2:$C$500,$B$23,'Deal Tracker'!$D$2:$D$500),"#,##0")&amp;"M"))</f>
        <v>1 deal  ·  $800M</v>
      </c>
      <c r="C24" s="17"/>
      <c r="E24" s="18" t="str">
        <f aca="false">IF(COUNTIF('Deal Tracker'!$C$2:$C$500,$E$23)=0,"No deals yet",COUNTIF('Deal Tracker'!$C$2:$C$500,$E$23)&amp;IF(COUNTIF('Deal Tracker'!$C$2:$C$500,$E$23)=1," deal  ·  "," deals  ·  ")&amp;IF(SUMIF('Deal Tracker'!$C$2:$C$500,$E$23,'Deal Tracker'!$D$2:$D$500)&gt;=1000,"$"&amp;TEXT(SUMIF('Deal Tracker'!$C$2:$C$500,$E$23,'Deal Tracker'!$D$2:$D$500)/1000,"#,##0.0")&amp;"B","$"&amp;TEXT(SUMIF('Deal Tracker'!$C$2:$C$500,$E$23,'Deal Tracker'!$D$2:$D$500),"#,##0")&amp;"M"))</f>
        <v>No deals yet</v>
      </c>
      <c r="F24" s="18"/>
      <c r="H24" s="19" t="str">
        <f aca="false">IF(COUNTIF('Deal Tracker'!$C$2:$C$500,$H$23)=0,"No deals yet",COUNTIF('Deal Tracker'!$C$2:$C$500,$H$23)&amp;IF(COUNTIF('Deal Tracker'!$C$2:$C$500,$H$23)=1," deal  ·  "," deals  ·  ")&amp;IF(SUMIF('Deal Tracker'!$C$2:$C$500,$H$23,'Deal Tracker'!$D$2:$D$500)&gt;=1000,"$"&amp;TEXT(SUMIF('Deal Tracker'!$C$2:$C$500,$H$23,'Deal Tracker'!$D$2:$D$500)/1000,"#,##0.0")&amp;"B","$"&amp;TEXT(SUMIF('Deal Tracker'!$C$2:$C$500,$H$23,'Deal Tracker'!$D$2:$D$500),"#,##0")&amp;"M"))</f>
        <v>No deals yet</v>
      </c>
      <c r="I24" s="19"/>
    </row>
    <row r="25" customFormat="false" ht="15" hidden="false" customHeight="true" outlineLevel="0" collapsed="false">
      <c r="B25" s="10" t="str">
        <f aca="false">IFERROR(INDEX(Calc!$C$2:$C$500,MATCH($B$23&amp;"#"&amp;1,Calc!$B$2:$B$500,0)),"")</f>
        <v>Example ShipCo</v>
      </c>
      <c r="C25" s="11" t="str">
        <f aca="false">IFERROR(INDEX(Calc!$D$2:$D$500,MATCH($B$23&amp;"#"&amp;1,Calc!$B$2:$B$500,0)),"")</f>
        <v>$800M</v>
      </c>
      <c r="E25" s="10" t="str">
        <f aca="false">IFERROR(INDEX(Calc!$C$2:$C$500,MATCH($E$23&amp;"#"&amp;1,Calc!$B$2:$B$500,0)),"")</f>
        <v/>
      </c>
      <c r="F25" s="11" t="str">
        <f aca="false">IFERROR(INDEX(Calc!$D$2:$D$500,MATCH($E$23&amp;"#"&amp;1,Calc!$B$2:$B$500,0)),"")</f>
        <v/>
      </c>
      <c r="H25" s="10" t="str">
        <f aca="false">IFERROR(INDEX(Calc!$C$2:$C$500,MATCH($H$23&amp;"#"&amp;1,Calc!$B$2:$B$500,0)),"")</f>
        <v/>
      </c>
      <c r="I25" s="11" t="str">
        <f aca="false">IFERROR(INDEX(Calc!$D$2:$D$500,MATCH($H$23&amp;"#"&amp;1,Calc!$B$2:$B$500,0)),"")</f>
        <v/>
      </c>
    </row>
    <row r="26" customFormat="false" ht="12.75" hidden="false" customHeight="true" outlineLevel="0" collapsed="false">
      <c r="B26" s="12" t="str">
        <f aca="false">IFERROR(INDEX(Calc!$E$2:$E$500,MATCH($B$23&amp;"#"&amp;1,Calc!$B$2:$B$500,0)),"")</f>
        <v>DOW  ·  Target: Feb 2027</v>
      </c>
      <c r="C26" s="12"/>
      <c r="E26" s="12" t="str">
        <f aca="false">IFERROR(INDEX(Calc!$E$2:$E$500,MATCH($E$23&amp;"#"&amp;1,Calc!$B$2:$B$500,0)),"")</f>
        <v/>
      </c>
      <c r="F26" s="12"/>
      <c r="H26" s="12" t="str">
        <f aca="false">IFERROR(INDEX(Calc!$E$2:$E$500,MATCH($H$23&amp;"#"&amp;1,Calc!$B$2:$B$500,0)),"")</f>
        <v/>
      </c>
      <c r="I26" s="12"/>
    </row>
    <row r="27" customFormat="false" ht="15" hidden="false" customHeight="true" outlineLevel="0" collapsed="false">
      <c r="B27" s="10" t="str">
        <f aca="false">IFERROR(INDEX(Calc!$C$2:$C$500,MATCH($B$23&amp;"#"&amp;2,Calc!$B$2:$B$500,0)),"")</f>
        <v/>
      </c>
      <c r="C27" s="11" t="str">
        <f aca="false">IFERROR(INDEX(Calc!$D$2:$D$500,MATCH($B$23&amp;"#"&amp;2,Calc!$B$2:$B$500,0)),"")</f>
        <v/>
      </c>
      <c r="E27" s="10" t="str">
        <f aca="false">IFERROR(INDEX(Calc!$C$2:$C$500,MATCH($E$23&amp;"#"&amp;2,Calc!$B$2:$B$500,0)),"")</f>
        <v/>
      </c>
      <c r="F27" s="11" t="str">
        <f aca="false">IFERROR(INDEX(Calc!$D$2:$D$500,MATCH($E$23&amp;"#"&amp;2,Calc!$B$2:$B$500,0)),"")</f>
        <v/>
      </c>
      <c r="H27" s="10" t="str">
        <f aca="false">IFERROR(INDEX(Calc!$C$2:$C$500,MATCH($H$23&amp;"#"&amp;2,Calc!$B$2:$B$500,0)),"")</f>
        <v/>
      </c>
      <c r="I27" s="11" t="str">
        <f aca="false">IFERROR(INDEX(Calc!$D$2:$D$500,MATCH($H$23&amp;"#"&amp;2,Calc!$B$2:$B$500,0)),"")</f>
        <v/>
      </c>
    </row>
    <row r="28" customFormat="false" ht="12.75" hidden="false" customHeight="true" outlineLevel="0" collapsed="false">
      <c r="B28" s="12" t="str">
        <f aca="false">IFERROR(INDEX(Calc!$E$2:$E$500,MATCH($B$23&amp;"#"&amp;2,Calc!$B$2:$B$500,0)),"")</f>
        <v/>
      </c>
      <c r="C28" s="12"/>
      <c r="E28" s="12" t="str">
        <f aca="false">IFERROR(INDEX(Calc!$E$2:$E$500,MATCH($E$23&amp;"#"&amp;2,Calc!$B$2:$B$500,0)),"")</f>
        <v/>
      </c>
      <c r="F28" s="12"/>
      <c r="H28" s="12" t="str">
        <f aca="false">IFERROR(INDEX(Calc!$E$2:$E$500,MATCH($H$23&amp;"#"&amp;2,Calc!$B$2:$B$500,0)),"")</f>
        <v/>
      </c>
      <c r="I28" s="12"/>
    </row>
    <row r="29" customFormat="false" ht="15" hidden="false" customHeight="true" outlineLevel="0" collapsed="false">
      <c r="B29" s="10" t="str">
        <f aca="false">IFERROR(INDEX(Calc!$C$2:$C$500,MATCH($B$23&amp;"#"&amp;3,Calc!$B$2:$B$500,0)),"")</f>
        <v/>
      </c>
      <c r="C29" s="11" t="str">
        <f aca="false">IFERROR(INDEX(Calc!$D$2:$D$500,MATCH($B$23&amp;"#"&amp;3,Calc!$B$2:$B$500,0)),"")</f>
        <v/>
      </c>
      <c r="E29" s="10" t="str">
        <f aca="false">IFERROR(INDEX(Calc!$C$2:$C$500,MATCH($E$23&amp;"#"&amp;3,Calc!$B$2:$B$500,0)),"")</f>
        <v/>
      </c>
      <c r="F29" s="11" t="str">
        <f aca="false">IFERROR(INDEX(Calc!$D$2:$D$500,MATCH($E$23&amp;"#"&amp;3,Calc!$B$2:$B$500,0)),"")</f>
        <v/>
      </c>
      <c r="H29" s="10" t="str">
        <f aca="false">IFERROR(INDEX(Calc!$C$2:$C$500,MATCH($H$23&amp;"#"&amp;3,Calc!$B$2:$B$500,0)),"")</f>
        <v/>
      </c>
      <c r="I29" s="11" t="str">
        <f aca="false">IFERROR(INDEX(Calc!$D$2:$D$500,MATCH($H$23&amp;"#"&amp;3,Calc!$B$2:$B$500,0)),"")</f>
        <v/>
      </c>
    </row>
    <row r="30" customFormat="false" ht="12.75" hidden="false" customHeight="true" outlineLevel="0" collapsed="false">
      <c r="B30" s="12" t="str">
        <f aca="false">IFERROR(INDEX(Calc!$E$2:$E$500,MATCH($B$23&amp;"#"&amp;3,Calc!$B$2:$B$500,0)),"")</f>
        <v/>
      </c>
      <c r="C30" s="12"/>
      <c r="E30" s="12" t="str">
        <f aca="false">IFERROR(INDEX(Calc!$E$2:$E$500,MATCH($E$23&amp;"#"&amp;3,Calc!$B$2:$B$500,0)),"")</f>
        <v/>
      </c>
      <c r="F30" s="12"/>
      <c r="H30" s="12" t="str">
        <f aca="false">IFERROR(INDEX(Calc!$E$2:$E$500,MATCH($H$23&amp;"#"&amp;3,Calc!$B$2:$B$500,0)),"")</f>
        <v/>
      </c>
      <c r="I30" s="12"/>
    </row>
    <row r="31" customFormat="false" ht="15" hidden="false" customHeight="true" outlineLevel="0" collapsed="false">
      <c r="B31" s="10" t="str">
        <f aca="false">IFERROR(INDEX(Calc!$C$2:$C$500,MATCH($B$23&amp;"#"&amp;4,Calc!$B$2:$B$500,0)),"")</f>
        <v/>
      </c>
      <c r="C31" s="11" t="str">
        <f aca="false">IFERROR(INDEX(Calc!$D$2:$D$500,MATCH($B$23&amp;"#"&amp;4,Calc!$B$2:$B$500,0)),"")</f>
        <v/>
      </c>
      <c r="E31" s="10" t="str">
        <f aca="false">IFERROR(INDEX(Calc!$C$2:$C$500,MATCH($E$23&amp;"#"&amp;4,Calc!$B$2:$B$500,0)),"")</f>
        <v/>
      </c>
      <c r="F31" s="11" t="str">
        <f aca="false">IFERROR(INDEX(Calc!$D$2:$D$500,MATCH($E$23&amp;"#"&amp;4,Calc!$B$2:$B$500,0)),"")</f>
        <v/>
      </c>
      <c r="H31" s="10" t="str">
        <f aca="false">IFERROR(INDEX(Calc!$C$2:$C$500,MATCH($H$23&amp;"#"&amp;4,Calc!$B$2:$B$500,0)),"")</f>
        <v/>
      </c>
      <c r="I31" s="11" t="str">
        <f aca="false">IFERROR(INDEX(Calc!$D$2:$D$500,MATCH($H$23&amp;"#"&amp;4,Calc!$B$2:$B$500,0)),"")</f>
        <v/>
      </c>
    </row>
    <row r="32" customFormat="false" ht="12.75" hidden="false" customHeight="true" outlineLevel="0" collapsed="false">
      <c r="B32" s="12" t="str">
        <f aca="false">IFERROR(INDEX(Calc!$E$2:$E$500,MATCH($B$23&amp;"#"&amp;4,Calc!$B$2:$B$500,0)),"")</f>
        <v/>
      </c>
      <c r="C32" s="12"/>
      <c r="E32" s="12" t="str">
        <f aca="false">IFERROR(INDEX(Calc!$E$2:$E$500,MATCH($E$23&amp;"#"&amp;4,Calc!$B$2:$B$500,0)),"")</f>
        <v/>
      </c>
      <c r="F32" s="12"/>
      <c r="H32" s="12" t="str">
        <f aca="false">IFERROR(INDEX(Calc!$E$2:$E$500,MATCH($H$23&amp;"#"&amp;4,Calc!$B$2:$B$500,0)),"")</f>
        <v/>
      </c>
      <c r="I32" s="12"/>
    </row>
    <row r="33" customFormat="false" ht="15" hidden="false" customHeight="true" outlineLevel="0" collapsed="false">
      <c r="B33" s="10" t="str">
        <f aca="false">IFERROR(INDEX(Calc!$C$2:$C$500,MATCH($B$23&amp;"#"&amp;5,Calc!$B$2:$B$500,0)),"")</f>
        <v/>
      </c>
      <c r="C33" s="11" t="str">
        <f aca="false">IFERROR(INDEX(Calc!$D$2:$D$500,MATCH($B$23&amp;"#"&amp;5,Calc!$B$2:$B$500,0)),"")</f>
        <v/>
      </c>
      <c r="E33" s="10" t="str">
        <f aca="false">IFERROR(INDEX(Calc!$C$2:$C$500,MATCH($E$23&amp;"#"&amp;5,Calc!$B$2:$B$500,0)),"")</f>
        <v/>
      </c>
      <c r="F33" s="11" t="str">
        <f aca="false">IFERROR(INDEX(Calc!$D$2:$D$500,MATCH($E$23&amp;"#"&amp;5,Calc!$B$2:$B$500,0)),"")</f>
        <v/>
      </c>
      <c r="H33" s="10" t="str">
        <f aca="false">IFERROR(INDEX(Calc!$C$2:$C$500,MATCH($H$23&amp;"#"&amp;5,Calc!$B$2:$B$500,0)),"")</f>
        <v/>
      </c>
      <c r="I33" s="11" t="str">
        <f aca="false">IFERROR(INDEX(Calc!$D$2:$D$500,MATCH($H$23&amp;"#"&amp;5,Calc!$B$2:$B$500,0)),"")</f>
        <v/>
      </c>
    </row>
    <row r="34" customFormat="false" ht="12.75" hidden="false" customHeight="true" outlineLevel="0" collapsed="false">
      <c r="B34" s="12" t="str">
        <f aca="false">IFERROR(INDEX(Calc!$E$2:$E$500,MATCH($B$23&amp;"#"&amp;5,Calc!$B$2:$B$500,0)),"")</f>
        <v/>
      </c>
      <c r="C34" s="12"/>
      <c r="E34" s="12" t="str">
        <f aca="false">IFERROR(INDEX(Calc!$E$2:$E$500,MATCH($E$23&amp;"#"&amp;5,Calc!$B$2:$B$500,0)),"")</f>
        <v/>
      </c>
      <c r="F34" s="12"/>
      <c r="H34" s="12" t="str">
        <f aca="false">IFERROR(INDEX(Calc!$E$2:$E$500,MATCH($H$23&amp;"#"&amp;5,Calc!$B$2:$B$500,0)),"")</f>
        <v/>
      </c>
      <c r="I34" s="12"/>
    </row>
    <row r="35" customFormat="false" ht="15" hidden="false" customHeight="true" outlineLevel="0" collapsed="false">
      <c r="B35" s="10" t="str">
        <f aca="false">IFERROR(INDEX(Calc!$C$2:$C$500,MATCH($B$23&amp;"#"&amp;6,Calc!$B$2:$B$500,0)),"")</f>
        <v/>
      </c>
      <c r="C35" s="11" t="str">
        <f aca="false">IFERROR(INDEX(Calc!$D$2:$D$500,MATCH($B$23&amp;"#"&amp;6,Calc!$B$2:$B$500,0)),"")</f>
        <v/>
      </c>
      <c r="E35" s="10" t="str">
        <f aca="false">IFERROR(INDEX(Calc!$C$2:$C$500,MATCH($E$23&amp;"#"&amp;6,Calc!$B$2:$B$500,0)),"")</f>
        <v/>
      </c>
      <c r="F35" s="11" t="str">
        <f aca="false">IFERROR(INDEX(Calc!$D$2:$D$500,MATCH($E$23&amp;"#"&amp;6,Calc!$B$2:$B$500,0)),"")</f>
        <v/>
      </c>
      <c r="H35" s="10" t="str">
        <f aca="false">IFERROR(INDEX(Calc!$C$2:$C$500,MATCH($H$23&amp;"#"&amp;6,Calc!$B$2:$B$500,0)),"")</f>
        <v/>
      </c>
      <c r="I35" s="11" t="str">
        <f aca="false">IFERROR(INDEX(Calc!$D$2:$D$500,MATCH($H$23&amp;"#"&amp;6,Calc!$B$2:$B$500,0)),"")</f>
        <v/>
      </c>
    </row>
    <row r="36" customFormat="false" ht="12.75" hidden="false" customHeight="true" outlineLevel="0" collapsed="false">
      <c r="B36" s="12" t="str">
        <f aca="false">IFERROR(INDEX(Calc!$E$2:$E$500,MATCH($B$23&amp;"#"&amp;6,Calc!$B$2:$B$500,0)),"")</f>
        <v/>
      </c>
      <c r="C36" s="12"/>
      <c r="E36" s="12" t="str">
        <f aca="false">IFERROR(INDEX(Calc!$E$2:$E$500,MATCH($E$23&amp;"#"&amp;6,Calc!$B$2:$B$500,0)),"")</f>
        <v/>
      </c>
      <c r="F36" s="12"/>
      <c r="H36" s="12" t="str">
        <f aca="false">IFERROR(INDEX(Calc!$E$2:$E$500,MATCH($H$23&amp;"#"&amp;6,Calc!$B$2:$B$500,0)),"")</f>
        <v/>
      </c>
      <c r="I36" s="12"/>
    </row>
    <row r="37" customFormat="false" ht="15" hidden="false" customHeight="true" outlineLevel="0" collapsed="false">
      <c r="B37" s="13" t="str">
        <f aca="false">IF(COUNTIF('Deal Tracker'!$C$2:$C$500,$B$23)&gt;6,"+"&amp;(COUNTIF('Deal Tracker'!$C$2:$C$500,$B$23)-6)&amp;" more — see Deal Tracker","")</f>
        <v/>
      </c>
      <c r="C37" s="13"/>
      <c r="E37" s="13" t="str">
        <f aca="false">IF(COUNTIF('Deal Tracker'!$C$2:$C$500,$E$23)&gt;6,"+"&amp;(COUNTIF('Deal Tracker'!$C$2:$C$500,$E$23)-6)&amp;" more — see Deal Tracker","")</f>
        <v/>
      </c>
      <c r="F37" s="13"/>
      <c r="H37" s="13" t="str">
        <f aca="false">IF(COUNTIF('Deal Tracker'!$C$2:$C$500,$H$23)&gt;6,"+"&amp;(COUNTIF('Deal Tracker'!$C$2:$C$500,$H$23)-6)&amp;" more — see Deal Tracker","")</f>
        <v/>
      </c>
      <c r="I37" s="13"/>
    </row>
    <row r="38" customFormat="false" ht="9" hidden="false" customHeight="true" outlineLevel="0" collapsed="false"/>
    <row r="39" customFormat="false" ht="9" hidden="false" customHeight="true" outlineLevel="0" collapsed="false"/>
    <row r="40" customFormat="false" ht="21.75" hidden="false" customHeight="true" outlineLevel="0" collapsed="false">
      <c r="B40" s="20" t="s">
        <v>8</v>
      </c>
      <c r="C40" s="20"/>
      <c r="E40" s="21" t="s">
        <v>9</v>
      </c>
      <c r="F40" s="21"/>
      <c r="H40" s="22" t="s">
        <v>10</v>
      </c>
      <c r="I40" s="22"/>
    </row>
    <row r="41" customFormat="false" ht="15.75" hidden="false" customHeight="true" outlineLevel="0" collapsed="false">
      <c r="B41" s="23" t="str">
        <f aca="false">IF(COUNTIF('Deal Tracker'!$C$2:$C$500,$B$40)=0,"No deals yet",COUNTIF('Deal Tracker'!$C$2:$C$500,$B$40)&amp;IF(COUNTIF('Deal Tracker'!$C$2:$C$500,$B$40)=1," deal  ·  "," deals  ·  ")&amp;IF(SUMIF('Deal Tracker'!$C$2:$C$500,$B$40,'Deal Tracker'!$D$2:$D$500)&gt;=1000,"$"&amp;TEXT(SUMIF('Deal Tracker'!$C$2:$C$500,$B$40,'Deal Tracker'!$D$2:$D$500)/1000,"#,##0.0")&amp;"B","$"&amp;TEXT(SUMIF('Deal Tracker'!$C$2:$C$500,$B$40,'Deal Tracker'!$D$2:$D$500),"#,##0")&amp;"M"))</f>
        <v>1 deal  ·  $5.0B</v>
      </c>
      <c r="C41" s="23"/>
      <c r="E41" s="24" t="str">
        <f aca="false">IF(COUNTIF('Deal Tracker'!$C$2:$C$500,$E$40)=0,"No deals yet",COUNTIF('Deal Tracker'!$C$2:$C$500,$E$40)&amp;IF(COUNTIF('Deal Tracker'!$C$2:$C$500,$E$40)=1," deal  ·  "," deals  ·  ")&amp;IF(SUMIF('Deal Tracker'!$C$2:$C$500,$E$40,'Deal Tracker'!$D$2:$D$500)&gt;=1000,"$"&amp;TEXT(SUMIF('Deal Tracker'!$C$2:$C$500,$E$40,'Deal Tracker'!$D$2:$D$500)/1000,"#,##0.0")&amp;"B","$"&amp;TEXT(SUMIF('Deal Tracker'!$C$2:$C$500,$E$40,'Deal Tracker'!$D$2:$D$500),"#,##0")&amp;"M"))</f>
        <v>No deals yet</v>
      </c>
      <c r="F41" s="24"/>
      <c r="H41" s="25" t="str">
        <f aca="false">IF(COUNTIF('Deal Tracker'!$C$2:$C$500,$H$40)=0,"No deals yet",COUNTIF('Deal Tracker'!$C$2:$C$500,$H$40)&amp;IF(COUNTIF('Deal Tracker'!$C$2:$C$500,$H$40)=1," deal  ·  "," deals  ·  ")&amp;IF(SUMIF('Deal Tracker'!$C$2:$C$500,$H$40,'Deal Tracker'!$D$2:$D$500)&gt;=1000,"$"&amp;TEXT(SUMIF('Deal Tracker'!$C$2:$C$500,$H$40,'Deal Tracker'!$D$2:$D$500)/1000,"#,##0.0")&amp;"B","$"&amp;TEXT(SUMIF('Deal Tracker'!$C$2:$C$500,$H$40,'Deal Tracker'!$D$2:$D$500),"#,##0")&amp;"M"))</f>
        <v>No deals yet</v>
      </c>
      <c r="I41" s="25"/>
    </row>
    <row r="42" customFormat="false" ht="15" hidden="false" customHeight="true" outlineLevel="0" collapsed="false">
      <c r="B42" s="10" t="str">
        <f aca="false">IFERROR(INDEX(Calc!$C$2:$C$500,MATCH($B$40&amp;"#"&amp;1,Calc!$B$2:$B$500,0)),"")</f>
        <v>Example ChipCo</v>
      </c>
      <c r="C42" s="11" t="str">
        <f aca="false">IFERROR(INDEX(Calc!$D$2:$D$500,MATCH($B$40&amp;"#"&amp;1,Calc!$B$2:$B$500,0)),"")</f>
        <v>$5,000M</v>
      </c>
      <c r="E42" s="10" t="str">
        <f aca="false">IFERROR(INDEX(Calc!$C$2:$C$500,MATCH($E$40&amp;"#"&amp;1,Calc!$B$2:$B$500,0)),"")</f>
        <v/>
      </c>
      <c r="F42" s="11" t="str">
        <f aca="false">IFERROR(INDEX(Calc!$D$2:$D$500,MATCH($E$40&amp;"#"&amp;1,Calc!$B$2:$B$500,0)),"")</f>
        <v/>
      </c>
      <c r="H42" s="10" t="str">
        <f aca="false">IFERROR(INDEX(Calc!$C$2:$C$500,MATCH($H$40&amp;"#"&amp;1,Calc!$B$2:$B$500,0)),"")</f>
        <v/>
      </c>
      <c r="I42" s="11" t="str">
        <f aca="false">IFERROR(INDEX(Calc!$D$2:$D$500,MATCH($H$40&amp;"#"&amp;1,Calc!$B$2:$B$500,0)),"")</f>
        <v/>
      </c>
    </row>
    <row r="43" customFormat="false" ht="12.75" hidden="false" customHeight="true" outlineLevel="0" collapsed="false">
      <c r="B43" s="12" t="str">
        <f aca="false">IFERROR(INDEX(Calc!$E$2:$E$500,MATCH($B$40&amp;"#"&amp;1,Calc!$B$2:$B$500,0)),"")</f>
        <v>Target: Sep 2027</v>
      </c>
      <c r="C43" s="12"/>
      <c r="E43" s="12" t="str">
        <f aca="false">IFERROR(INDEX(Calc!$E$2:$E$500,MATCH($E$40&amp;"#"&amp;1,Calc!$B$2:$B$500,0)),"")</f>
        <v/>
      </c>
      <c r="F43" s="12"/>
      <c r="H43" s="12" t="str">
        <f aca="false">IFERROR(INDEX(Calc!$E$2:$E$500,MATCH($H$40&amp;"#"&amp;1,Calc!$B$2:$B$500,0)),"")</f>
        <v/>
      </c>
      <c r="I43" s="12"/>
    </row>
    <row r="44" customFormat="false" ht="15" hidden="false" customHeight="true" outlineLevel="0" collapsed="false">
      <c r="B44" s="10" t="str">
        <f aca="false">IFERROR(INDEX(Calc!$C$2:$C$500,MATCH($B$40&amp;"#"&amp;2,Calc!$B$2:$B$500,0)),"")</f>
        <v/>
      </c>
      <c r="C44" s="11" t="str">
        <f aca="false">IFERROR(INDEX(Calc!$D$2:$D$500,MATCH($B$40&amp;"#"&amp;2,Calc!$B$2:$B$500,0)),"")</f>
        <v/>
      </c>
      <c r="E44" s="10" t="str">
        <f aca="false">IFERROR(INDEX(Calc!$C$2:$C$500,MATCH($E$40&amp;"#"&amp;2,Calc!$B$2:$B$500,0)),"")</f>
        <v/>
      </c>
      <c r="F44" s="11" t="str">
        <f aca="false">IFERROR(INDEX(Calc!$D$2:$D$500,MATCH($E$40&amp;"#"&amp;2,Calc!$B$2:$B$500,0)),"")</f>
        <v/>
      </c>
      <c r="H44" s="10" t="str">
        <f aca="false">IFERROR(INDEX(Calc!$C$2:$C$500,MATCH($H$40&amp;"#"&amp;2,Calc!$B$2:$B$500,0)),"")</f>
        <v/>
      </c>
      <c r="I44" s="11" t="str">
        <f aca="false">IFERROR(INDEX(Calc!$D$2:$D$500,MATCH($H$40&amp;"#"&amp;2,Calc!$B$2:$B$500,0)),"")</f>
        <v/>
      </c>
    </row>
    <row r="45" customFormat="false" ht="12.75" hidden="false" customHeight="true" outlineLevel="0" collapsed="false">
      <c r="B45" s="12" t="str">
        <f aca="false">IFERROR(INDEX(Calc!$E$2:$E$500,MATCH($B$40&amp;"#"&amp;2,Calc!$B$2:$B$500,0)),"")</f>
        <v/>
      </c>
      <c r="C45" s="12"/>
      <c r="E45" s="12" t="str">
        <f aca="false">IFERROR(INDEX(Calc!$E$2:$E$500,MATCH($E$40&amp;"#"&amp;2,Calc!$B$2:$B$500,0)),"")</f>
        <v/>
      </c>
      <c r="F45" s="12"/>
      <c r="H45" s="12" t="str">
        <f aca="false">IFERROR(INDEX(Calc!$E$2:$E$500,MATCH($H$40&amp;"#"&amp;2,Calc!$B$2:$B$500,0)),"")</f>
        <v/>
      </c>
      <c r="I45" s="12"/>
    </row>
    <row r="46" customFormat="false" ht="15" hidden="false" customHeight="true" outlineLevel="0" collapsed="false">
      <c r="B46" s="10" t="str">
        <f aca="false">IFERROR(INDEX(Calc!$C$2:$C$500,MATCH($B$40&amp;"#"&amp;3,Calc!$B$2:$B$500,0)),"")</f>
        <v/>
      </c>
      <c r="C46" s="11" t="str">
        <f aca="false">IFERROR(INDEX(Calc!$D$2:$D$500,MATCH($B$40&amp;"#"&amp;3,Calc!$B$2:$B$500,0)),"")</f>
        <v/>
      </c>
      <c r="E46" s="10" t="str">
        <f aca="false">IFERROR(INDEX(Calc!$C$2:$C$500,MATCH($E$40&amp;"#"&amp;3,Calc!$B$2:$B$500,0)),"")</f>
        <v/>
      </c>
      <c r="F46" s="11" t="str">
        <f aca="false">IFERROR(INDEX(Calc!$D$2:$D$500,MATCH($E$40&amp;"#"&amp;3,Calc!$B$2:$B$500,0)),"")</f>
        <v/>
      </c>
      <c r="H46" s="10" t="str">
        <f aca="false">IFERROR(INDEX(Calc!$C$2:$C$500,MATCH($H$40&amp;"#"&amp;3,Calc!$B$2:$B$500,0)),"")</f>
        <v/>
      </c>
      <c r="I46" s="11" t="str">
        <f aca="false">IFERROR(INDEX(Calc!$D$2:$D$500,MATCH($H$40&amp;"#"&amp;3,Calc!$B$2:$B$500,0)),"")</f>
        <v/>
      </c>
    </row>
    <row r="47" customFormat="false" ht="12.75" hidden="false" customHeight="true" outlineLevel="0" collapsed="false">
      <c r="B47" s="12" t="str">
        <f aca="false">IFERROR(INDEX(Calc!$E$2:$E$500,MATCH($B$40&amp;"#"&amp;3,Calc!$B$2:$B$500,0)),"")</f>
        <v/>
      </c>
      <c r="C47" s="12"/>
      <c r="E47" s="12" t="str">
        <f aca="false">IFERROR(INDEX(Calc!$E$2:$E$500,MATCH($E$40&amp;"#"&amp;3,Calc!$B$2:$B$500,0)),"")</f>
        <v/>
      </c>
      <c r="F47" s="12"/>
      <c r="H47" s="12" t="str">
        <f aca="false">IFERROR(INDEX(Calc!$E$2:$E$500,MATCH($H$40&amp;"#"&amp;3,Calc!$B$2:$B$500,0)),"")</f>
        <v/>
      </c>
      <c r="I47" s="12"/>
    </row>
    <row r="48" customFormat="false" ht="15" hidden="false" customHeight="true" outlineLevel="0" collapsed="false">
      <c r="B48" s="10" t="str">
        <f aca="false">IFERROR(INDEX(Calc!$C$2:$C$500,MATCH($B$40&amp;"#"&amp;4,Calc!$B$2:$B$500,0)),"")</f>
        <v/>
      </c>
      <c r="C48" s="11" t="str">
        <f aca="false">IFERROR(INDEX(Calc!$D$2:$D$500,MATCH($B$40&amp;"#"&amp;4,Calc!$B$2:$B$500,0)),"")</f>
        <v/>
      </c>
      <c r="E48" s="10" t="str">
        <f aca="false">IFERROR(INDEX(Calc!$C$2:$C$500,MATCH($E$40&amp;"#"&amp;4,Calc!$B$2:$B$500,0)),"")</f>
        <v/>
      </c>
      <c r="F48" s="11" t="str">
        <f aca="false">IFERROR(INDEX(Calc!$D$2:$D$500,MATCH($E$40&amp;"#"&amp;4,Calc!$B$2:$B$500,0)),"")</f>
        <v/>
      </c>
      <c r="H48" s="10" t="str">
        <f aca="false">IFERROR(INDEX(Calc!$C$2:$C$500,MATCH($H$40&amp;"#"&amp;4,Calc!$B$2:$B$500,0)),"")</f>
        <v/>
      </c>
      <c r="I48" s="11" t="str">
        <f aca="false">IFERROR(INDEX(Calc!$D$2:$D$500,MATCH($H$40&amp;"#"&amp;4,Calc!$B$2:$B$500,0)),"")</f>
        <v/>
      </c>
    </row>
    <row r="49" customFormat="false" ht="12.75" hidden="false" customHeight="true" outlineLevel="0" collapsed="false">
      <c r="B49" s="12" t="str">
        <f aca="false">IFERROR(INDEX(Calc!$E$2:$E$500,MATCH($B$40&amp;"#"&amp;4,Calc!$B$2:$B$500,0)),"")</f>
        <v/>
      </c>
      <c r="C49" s="12"/>
      <c r="E49" s="12" t="str">
        <f aca="false">IFERROR(INDEX(Calc!$E$2:$E$500,MATCH($E$40&amp;"#"&amp;4,Calc!$B$2:$B$500,0)),"")</f>
        <v/>
      </c>
      <c r="F49" s="12"/>
      <c r="H49" s="12" t="str">
        <f aca="false">IFERROR(INDEX(Calc!$E$2:$E$500,MATCH($H$40&amp;"#"&amp;4,Calc!$B$2:$B$500,0)),"")</f>
        <v/>
      </c>
      <c r="I49" s="12"/>
    </row>
    <row r="50" customFormat="false" ht="15" hidden="false" customHeight="true" outlineLevel="0" collapsed="false">
      <c r="B50" s="10" t="str">
        <f aca="false">IFERROR(INDEX(Calc!$C$2:$C$500,MATCH($B$40&amp;"#"&amp;5,Calc!$B$2:$B$500,0)),"")</f>
        <v/>
      </c>
      <c r="C50" s="11" t="str">
        <f aca="false">IFERROR(INDEX(Calc!$D$2:$D$500,MATCH($B$40&amp;"#"&amp;5,Calc!$B$2:$B$500,0)),"")</f>
        <v/>
      </c>
      <c r="E50" s="10" t="str">
        <f aca="false">IFERROR(INDEX(Calc!$C$2:$C$500,MATCH($E$40&amp;"#"&amp;5,Calc!$B$2:$B$500,0)),"")</f>
        <v/>
      </c>
      <c r="F50" s="11" t="str">
        <f aca="false">IFERROR(INDEX(Calc!$D$2:$D$500,MATCH($E$40&amp;"#"&amp;5,Calc!$B$2:$B$500,0)),"")</f>
        <v/>
      </c>
      <c r="H50" s="10" t="str">
        <f aca="false">IFERROR(INDEX(Calc!$C$2:$C$500,MATCH($H$40&amp;"#"&amp;5,Calc!$B$2:$B$500,0)),"")</f>
        <v/>
      </c>
      <c r="I50" s="11" t="str">
        <f aca="false">IFERROR(INDEX(Calc!$D$2:$D$500,MATCH($H$40&amp;"#"&amp;5,Calc!$B$2:$B$500,0)),"")</f>
        <v/>
      </c>
    </row>
    <row r="51" customFormat="false" ht="12.75" hidden="false" customHeight="true" outlineLevel="0" collapsed="false">
      <c r="B51" s="12" t="str">
        <f aca="false">IFERROR(INDEX(Calc!$E$2:$E$500,MATCH($B$40&amp;"#"&amp;5,Calc!$B$2:$B$500,0)),"")</f>
        <v/>
      </c>
      <c r="C51" s="12"/>
      <c r="E51" s="12" t="str">
        <f aca="false">IFERROR(INDEX(Calc!$E$2:$E$500,MATCH($E$40&amp;"#"&amp;5,Calc!$B$2:$B$500,0)),"")</f>
        <v/>
      </c>
      <c r="F51" s="12"/>
      <c r="H51" s="12" t="str">
        <f aca="false">IFERROR(INDEX(Calc!$E$2:$E$500,MATCH($H$40&amp;"#"&amp;5,Calc!$B$2:$B$500,0)),"")</f>
        <v/>
      </c>
      <c r="I51" s="12"/>
    </row>
    <row r="52" customFormat="false" ht="15" hidden="false" customHeight="true" outlineLevel="0" collapsed="false">
      <c r="B52" s="10" t="str">
        <f aca="false">IFERROR(INDEX(Calc!$C$2:$C$500,MATCH($B$40&amp;"#"&amp;6,Calc!$B$2:$B$500,0)),"")</f>
        <v/>
      </c>
      <c r="C52" s="11" t="str">
        <f aca="false">IFERROR(INDEX(Calc!$D$2:$D$500,MATCH($B$40&amp;"#"&amp;6,Calc!$B$2:$B$500,0)),"")</f>
        <v/>
      </c>
      <c r="E52" s="10" t="str">
        <f aca="false">IFERROR(INDEX(Calc!$C$2:$C$500,MATCH($E$40&amp;"#"&amp;6,Calc!$B$2:$B$500,0)),"")</f>
        <v/>
      </c>
      <c r="F52" s="11" t="str">
        <f aca="false">IFERROR(INDEX(Calc!$D$2:$D$500,MATCH($E$40&amp;"#"&amp;6,Calc!$B$2:$B$500,0)),"")</f>
        <v/>
      </c>
      <c r="H52" s="10" t="str">
        <f aca="false">IFERROR(INDEX(Calc!$C$2:$C$500,MATCH($H$40&amp;"#"&amp;6,Calc!$B$2:$B$500,0)),"")</f>
        <v/>
      </c>
      <c r="I52" s="11" t="str">
        <f aca="false">IFERROR(INDEX(Calc!$D$2:$D$500,MATCH($H$40&amp;"#"&amp;6,Calc!$B$2:$B$500,0)),"")</f>
        <v/>
      </c>
    </row>
    <row r="53" customFormat="false" ht="12.75" hidden="false" customHeight="true" outlineLevel="0" collapsed="false">
      <c r="B53" s="12" t="str">
        <f aca="false">IFERROR(INDEX(Calc!$E$2:$E$500,MATCH($B$40&amp;"#"&amp;6,Calc!$B$2:$B$500,0)),"")</f>
        <v/>
      </c>
      <c r="C53" s="12"/>
      <c r="E53" s="12" t="str">
        <f aca="false">IFERROR(INDEX(Calc!$E$2:$E$500,MATCH($E$40&amp;"#"&amp;6,Calc!$B$2:$B$500,0)),"")</f>
        <v/>
      </c>
      <c r="F53" s="12"/>
      <c r="H53" s="12" t="str">
        <f aca="false">IFERROR(INDEX(Calc!$E$2:$E$500,MATCH($H$40&amp;"#"&amp;6,Calc!$B$2:$B$500,0)),"")</f>
        <v/>
      </c>
      <c r="I53" s="12"/>
    </row>
    <row r="54" customFormat="false" ht="15" hidden="false" customHeight="true" outlineLevel="0" collapsed="false">
      <c r="B54" s="13" t="str">
        <f aca="false">IF(COUNTIF('Deal Tracker'!$C$2:$C$500,$B$40)&gt;6,"+"&amp;(COUNTIF('Deal Tracker'!$C$2:$C$500,$B$40)-6)&amp;" more — see Deal Tracker","")</f>
        <v/>
      </c>
      <c r="C54" s="13"/>
      <c r="E54" s="13" t="str">
        <f aca="false">IF(COUNTIF('Deal Tracker'!$C$2:$C$500,$E$40)&gt;6,"+"&amp;(COUNTIF('Deal Tracker'!$C$2:$C$500,$E$40)-6)&amp;" more — see Deal Tracker","")</f>
        <v/>
      </c>
      <c r="F54" s="13"/>
      <c r="H54" s="13" t="str">
        <f aca="false">IF(COUNTIF('Deal Tracker'!$C$2:$C$500,$H$40)&gt;6,"+"&amp;(COUNTIF('Deal Tracker'!$C$2:$C$500,$H$40)-6)&amp;" more — see Deal Tracker","")</f>
        <v/>
      </c>
      <c r="I54" s="13"/>
    </row>
  </sheetData>
  <mergeCells count="81">
    <mergeCell ref="B6:C6"/>
    <mergeCell ref="E6:F6"/>
    <mergeCell ref="H6:I6"/>
    <mergeCell ref="B7:C7"/>
    <mergeCell ref="E7:F7"/>
    <mergeCell ref="H7:I7"/>
    <mergeCell ref="B9:C9"/>
    <mergeCell ref="E9:F9"/>
    <mergeCell ref="H9:I9"/>
    <mergeCell ref="B11:C11"/>
    <mergeCell ref="E11:F11"/>
    <mergeCell ref="H11:I11"/>
    <mergeCell ref="B13:C13"/>
    <mergeCell ref="E13:F13"/>
    <mergeCell ref="H13:I13"/>
    <mergeCell ref="B15:C15"/>
    <mergeCell ref="E15:F15"/>
    <mergeCell ref="H15:I15"/>
    <mergeCell ref="B17:C17"/>
    <mergeCell ref="E17:F17"/>
    <mergeCell ref="H17:I17"/>
    <mergeCell ref="B19:C19"/>
    <mergeCell ref="E19:F19"/>
    <mergeCell ref="H19:I19"/>
    <mergeCell ref="B20:C20"/>
    <mergeCell ref="E20:F20"/>
    <mergeCell ref="H20:I20"/>
    <mergeCell ref="B23:C23"/>
    <mergeCell ref="E23:F23"/>
    <mergeCell ref="H23:I23"/>
    <mergeCell ref="B24:C24"/>
    <mergeCell ref="E24:F24"/>
    <mergeCell ref="H24:I24"/>
    <mergeCell ref="B26:C26"/>
    <mergeCell ref="E26:F26"/>
    <mergeCell ref="H26:I26"/>
    <mergeCell ref="B28:C28"/>
    <mergeCell ref="E28:F28"/>
    <mergeCell ref="H28:I28"/>
    <mergeCell ref="B30:C30"/>
    <mergeCell ref="E30:F30"/>
    <mergeCell ref="H30:I30"/>
    <mergeCell ref="B32:C32"/>
    <mergeCell ref="E32:F32"/>
    <mergeCell ref="H32:I32"/>
    <mergeCell ref="B34:C34"/>
    <mergeCell ref="E34:F34"/>
    <mergeCell ref="H34:I34"/>
    <mergeCell ref="B36:C36"/>
    <mergeCell ref="E36:F36"/>
    <mergeCell ref="H36:I36"/>
    <mergeCell ref="B37:C37"/>
    <mergeCell ref="E37:F37"/>
    <mergeCell ref="H37:I37"/>
    <mergeCell ref="B40:C40"/>
    <mergeCell ref="E40:F40"/>
    <mergeCell ref="H40:I40"/>
    <mergeCell ref="B41:C41"/>
    <mergeCell ref="E41:F41"/>
    <mergeCell ref="H41:I41"/>
    <mergeCell ref="B43:C43"/>
    <mergeCell ref="E43:F43"/>
    <mergeCell ref="H43:I43"/>
    <mergeCell ref="B45:C45"/>
    <mergeCell ref="E45:F45"/>
    <mergeCell ref="H45:I45"/>
    <mergeCell ref="B47:C47"/>
    <mergeCell ref="E47:F47"/>
    <mergeCell ref="H47:I47"/>
    <mergeCell ref="B49:C49"/>
    <mergeCell ref="E49:F49"/>
    <mergeCell ref="H49:I49"/>
    <mergeCell ref="B51:C51"/>
    <mergeCell ref="E51:F51"/>
    <mergeCell ref="H51:I51"/>
    <mergeCell ref="B53:C53"/>
    <mergeCell ref="E53:F53"/>
    <mergeCell ref="H53:I53"/>
    <mergeCell ref="B54:C54"/>
    <mergeCell ref="E54:F54"/>
    <mergeCell ref="H54:I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6C6A"/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3" min="3" style="0" width="21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13"/>
    <col collapsed="false" customWidth="true" hidden="false" outlineLevel="0" max="9" min="9" style="0" width="18"/>
    <col collapsed="false" customWidth="true" hidden="false" outlineLevel="0" max="10" min="10" style="0" width="46"/>
    <col collapsed="false" customWidth="true" hidden="false" outlineLevel="0" max="11" min="11" style="0" width="13"/>
  </cols>
  <sheetData>
    <row r="1" customFormat="false" ht="21.75" hidden="false" customHeight="true" outlineLevel="0" collapsed="false">
      <c r="A1" s="26" t="s">
        <v>11</v>
      </c>
      <c r="B1" s="26" t="s">
        <v>12</v>
      </c>
      <c r="C1" s="26" t="s">
        <v>13</v>
      </c>
      <c r="D1" s="26" t="s">
        <v>14</v>
      </c>
      <c r="E1" s="26" t="s">
        <v>15</v>
      </c>
      <c r="F1" s="26" t="s">
        <v>16</v>
      </c>
      <c r="G1" s="26" t="s">
        <v>17</v>
      </c>
      <c r="H1" s="26" t="s">
        <v>18</v>
      </c>
      <c r="I1" s="26" t="s">
        <v>19</v>
      </c>
      <c r="J1" s="26" t="s">
        <v>20</v>
      </c>
      <c r="K1" s="26" t="s">
        <v>21</v>
      </c>
    </row>
    <row r="2" customFormat="false" ht="23.85" hidden="false" customHeight="false" outlineLevel="0" collapsed="false">
      <c r="A2" s="27" t="s">
        <v>22</v>
      </c>
      <c r="B2" s="28" t="s">
        <v>23</v>
      </c>
      <c r="C2" s="28" t="s">
        <v>2</v>
      </c>
      <c r="D2" s="29" t="n">
        <v>2500</v>
      </c>
      <c r="E2" s="28" t="s">
        <v>24</v>
      </c>
      <c r="F2" s="28" t="s">
        <v>25</v>
      </c>
      <c r="G2" s="28" t="s">
        <v>26</v>
      </c>
      <c r="H2" s="30" t="n">
        <v>46341</v>
      </c>
      <c r="I2" s="28"/>
      <c r="J2" s="31" t="s">
        <v>27</v>
      </c>
      <c r="K2" s="30" t="n">
        <v>46232</v>
      </c>
    </row>
    <row r="3" customFormat="false" ht="23.85" hidden="false" customHeight="false" outlineLevel="0" collapsed="false">
      <c r="A3" s="27" t="s">
        <v>28</v>
      </c>
      <c r="B3" s="28" t="s">
        <v>29</v>
      </c>
      <c r="C3" s="28" t="s">
        <v>5</v>
      </c>
      <c r="D3" s="29" t="n">
        <v>800</v>
      </c>
      <c r="E3" s="28" t="s">
        <v>30</v>
      </c>
      <c r="F3" s="28" t="s">
        <v>31</v>
      </c>
      <c r="G3" s="28"/>
      <c r="H3" s="30" t="n">
        <v>46433</v>
      </c>
      <c r="I3" s="28"/>
      <c r="J3" s="31" t="s">
        <v>32</v>
      </c>
      <c r="K3" s="30" t="n">
        <v>46232</v>
      </c>
    </row>
    <row r="4" customFormat="false" ht="15" hidden="false" customHeight="false" outlineLevel="0" collapsed="false">
      <c r="A4" s="27" t="s">
        <v>33</v>
      </c>
      <c r="B4" s="28" t="s">
        <v>34</v>
      </c>
      <c r="C4" s="28" t="s">
        <v>8</v>
      </c>
      <c r="D4" s="29" t="n">
        <v>5000</v>
      </c>
      <c r="E4" s="28" t="s">
        <v>35</v>
      </c>
      <c r="F4" s="28"/>
      <c r="G4" s="28"/>
      <c r="H4" s="30" t="n">
        <v>46645</v>
      </c>
      <c r="I4" s="28"/>
      <c r="J4" s="31" t="s">
        <v>36</v>
      </c>
      <c r="K4" s="30" t="n">
        <v>46232</v>
      </c>
    </row>
    <row r="5" customFormat="false" ht="15" hidden="false" customHeight="false" outlineLevel="0" collapsed="false">
      <c r="A5" s="32"/>
      <c r="B5" s="33"/>
      <c r="C5" s="33"/>
      <c r="D5" s="34"/>
      <c r="E5" s="33"/>
      <c r="F5" s="33"/>
      <c r="G5" s="33"/>
      <c r="H5" s="35"/>
      <c r="I5" s="33"/>
      <c r="J5" s="36"/>
      <c r="K5" s="35"/>
    </row>
    <row r="6" customFormat="false" ht="15" hidden="false" customHeight="false" outlineLevel="0" collapsed="false">
      <c r="A6" s="37"/>
      <c r="B6" s="38"/>
      <c r="C6" s="38"/>
      <c r="D6" s="39"/>
      <c r="E6" s="38"/>
      <c r="F6" s="38"/>
      <c r="G6" s="38"/>
      <c r="H6" s="40"/>
      <c r="I6" s="38"/>
      <c r="J6" s="41"/>
      <c r="K6" s="40"/>
    </row>
    <row r="7" customFormat="false" ht="15" hidden="false" customHeight="false" outlineLevel="0" collapsed="false">
      <c r="A7" s="32"/>
      <c r="B7" s="33"/>
      <c r="C7" s="33"/>
      <c r="D7" s="34"/>
      <c r="E7" s="33"/>
      <c r="F7" s="33"/>
      <c r="G7" s="33"/>
      <c r="H7" s="35"/>
      <c r="I7" s="33"/>
      <c r="J7" s="36"/>
      <c r="K7" s="35"/>
    </row>
    <row r="8" customFormat="false" ht="15" hidden="false" customHeight="false" outlineLevel="0" collapsed="false">
      <c r="A8" s="37"/>
      <c r="B8" s="38"/>
      <c r="C8" s="38"/>
      <c r="D8" s="39"/>
      <c r="E8" s="38"/>
      <c r="F8" s="38"/>
      <c r="G8" s="38"/>
      <c r="H8" s="40"/>
      <c r="I8" s="38"/>
      <c r="J8" s="41"/>
      <c r="K8" s="40"/>
    </row>
    <row r="9" customFormat="false" ht="15" hidden="false" customHeight="false" outlineLevel="0" collapsed="false">
      <c r="A9" s="32"/>
      <c r="B9" s="33"/>
      <c r="C9" s="33"/>
      <c r="D9" s="34"/>
      <c r="E9" s="33"/>
      <c r="F9" s="33"/>
      <c r="G9" s="33"/>
      <c r="H9" s="35"/>
      <c r="I9" s="33"/>
      <c r="J9" s="36"/>
      <c r="K9" s="35"/>
    </row>
    <row r="10" customFormat="false" ht="15" hidden="false" customHeight="false" outlineLevel="0" collapsed="false">
      <c r="A10" s="37"/>
      <c r="B10" s="38"/>
      <c r="C10" s="38"/>
      <c r="D10" s="39"/>
      <c r="E10" s="38"/>
      <c r="F10" s="38"/>
      <c r="G10" s="38"/>
      <c r="H10" s="40"/>
      <c r="I10" s="38"/>
      <c r="J10" s="41"/>
      <c r="K10" s="40"/>
    </row>
    <row r="11" customFormat="false" ht="15" hidden="false" customHeight="false" outlineLevel="0" collapsed="false">
      <c r="A11" s="32"/>
      <c r="B11" s="33"/>
      <c r="C11" s="33"/>
      <c r="D11" s="34"/>
      <c r="E11" s="33"/>
      <c r="F11" s="33"/>
      <c r="G11" s="33"/>
      <c r="H11" s="35"/>
      <c r="I11" s="33"/>
      <c r="J11" s="36"/>
      <c r="K11" s="35"/>
    </row>
    <row r="12" customFormat="false" ht="15" hidden="false" customHeight="false" outlineLevel="0" collapsed="false">
      <c r="A12" s="37"/>
      <c r="B12" s="38"/>
      <c r="C12" s="38"/>
      <c r="D12" s="39"/>
      <c r="E12" s="38"/>
      <c r="F12" s="38"/>
      <c r="G12" s="38"/>
      <c r="H12" s="40"/>
      <c r="I12" s="38"/>
      <c r="J12" s="41"/>
      <c r="K12" s="40"/>
    </row>
    <row r="13" customFormat="false" ht="15" hidden="false" customHeight="false" outlineLevel="0" collapsed="false">
      <c r="A13" s="32"/>
      <c r="B13" s="33"/>
      <c r="C13" s="33"/>
      <c r="D13" s="34"/>
      <c r="E13" s="33"/>
      <c r="F13" s="33"/>
      <c r="G13" s="33"/>
      <c r="H13" s="35"/>
      <c r="I13" s="33"/>
      <c r="J13" s="36"/>
      <c r="K13" s="35"/>
    </row>
    <row r="14" customFormat="false" ht="15" hidden="false" customHeight="false" outlineLevel="0" collapsed="false">
      <c r="A14" s="37"/>
      <c r="B14" s="38"/>
      <c r="C14" s="38"/>
      <c r="D14" s="39"/>
      <c r="E14" s="38"/>
      <c r="F14" s="38"/>
      <c r="G14" s="38"/>
      <c r="H14" s="40"/>
      <c r="I14" s="38"/>
      <c r="J14" s="41"/>
      <c r="K14" s="40"/>
    </row>
    <row r="15" customFormat="false" ht="15" hidden="false" customHeight="false" outlineLevel="0" collapsed="false">
      <c r="A15" s="32"/>
      <c r="B15" s="33"/>
      <c r="C15" s="33"/>
      <c r="D15" s="34"/>
      <c r="E15" s="33"/>
      <c r="F15" s="33"/>
      <c r="G15" s="33"/>
      <c r="H15" s="35"/>
      <c r="I15" s="33"/>
      <c r="J15" s="36"/>
      <c r="K15" s="35"/>
    </row>
    <row r="16" customFormat="false" ht="15" hidden="false" customHeight="false" outlineLevel="0" collapsed="false">
      <c r="A16" s="37"/>
      <c r="B16" s="38"/>
      <c r="C16" s="38"/>
      <c r="D16" s="39"/>
      <c r="E16" s="38"/>
      <c r="F16" s="38"/>
      <c r="G16" s="38"/>
      <c r="H16" s="40"/>
      <c r="I16" s="38"/>
      <c r="J16" s="41"/>
      <c r="K16" s="40"/>
    </row>
    <row r="17" customFormat="false" ht="15" hidden="false" customHeight="false" outlineLevel="0" collapsed="false">
      <c r="A17" s="32"/>
      <c r="B17" s="33"/>
      <c r="C17" s="33"/>
      <c r="D17" s="34"/>
      <c r="E17" s="33"/>
      <c r="F17" s="33"/>
      <c r="G17" s="33"/>
      <c r="H17" s="35"/>
      <c r="I17" s="33"/>
      <c r="J17" s="36"/>
      <c r="K17" s="35"/>
    </row>
    <row r="18" customFormat="false" ht="15" hidden="false" customHeight="false" outlineLevel="0" collapsed="false">
      <c r="A18" s="37"/>
      <c r="B18" s="38"/>
      <c r="C18" s="38"/>
      <c r="D18" s="39"/>
      <c r="E18" s="38"/>
      <c r="F18" s="38"/>
      <c r="G18" s="38"/>
      <c r="H18" s="40"/>
      <c r="I18" s="38"/>
      <c r="J18" s="41"/>
      <c r="K18" s="40"/>
    </row>
    <row r="19" customFormat="false" ht="15" hidden="false" customHeight="false" outlineLevel="0" collapsed="false">
      <c r="A19" s="32"/>
      <c r="B19" s="33"/>
      <c r="C19" s="33"/>
      <c r="D19" s="34"/>
      <c r="E19" s="33"/>
      <c r="F19" s="33"/>
      <c r="G19" s="33"/>
      <c r="H19" s="35"/>
      <c r="I19" s="33"/>
      <c r="J19" s="36"/>
      <c r="K19" s="35"/>
    </row>
    <row r="20" customFormat="false" ht="15" hidden="false" customHeight="false" outlineLevel="0" collapsed="false">
      <c r="A20" s="37"/>
      <c r="B20" s="38"/>
      <c r="C20" s="38"/>
      <c r="D20" s="39"/>
      <c r="E20" s="38"/>
      <c r="F20" s="38"/>
      <c r="G20" s="38"/>
      <c r="H20" s="40"/>
      <c r="I20" s="38"/>
      <c r="J20" s="41"/>
      <c r="K20" s="40"/>
    </row>
    <row r="21" customFormat="false" ht="15" hidden="false" customHeight="false" outlineLevel="0" collapsed="false">
      <c r="A21" s="32"/>
      <c r="B21" s="33"/>
      <c r="C21" s="33"/>
      <c r="D21" s="34"/>
      <c r="E21" s="33"/>
      <c r="F21" s="33"/>
      <c r="G21" s="33"/>
      <c r="H21" s="35"/>
      <c r="I21" s="33"/>
      <c r="J21" s="36"/>
      <c r="K21" s="35"/>
    </row>
    <row r="22" customFormat="false" ht="15" hidden="false" customHeight="false" outlineLevel="0" collapsed="false">
      <c r="A22" s="37"/>
      <c r="B22" s="38"/>
      <c r="C22" s="38"/>
      <c r="D22" s="39"/>
      <c r="E22" s="38"/>
      <c r="F22" s="38"/>
      <c r="G22" s="38"/>
      <c r="H22" s="40"/>
      <c r="I22" s="38"/>
      <c r="J22" s="41"/>
      <c r="K22" s="40"/>
    </row>
    <row r="23" customFormat="false" ht="15" hidden="false" customHeight="false" outlineLevel="0" collapsed="false">
      <c r="A23" s="32"/>
      <c r="B23" s="33"/>
      <c r="C23" s="33"/>
      <c r="D23" s="34"/>
      <c r="E23" s="33"/>
      <c r="F23" s="33"/>
      <c r="G23" s="33"/>
      <c r="H23" s="35"/>
      <c r="I23" s="33"/>
      <c r="J23" s="36"/>
      <c r="K23" s="35"/>
    </row>
    <row r="24" customFormat="false" ht="15" hidden="false" customHeight="false" outlineLevel="0" collapsed="false">
      <c r="A24" s="37"/>
      <c r="B24" s="38"/>
      <c r="C24" s="38"/>
      <c r="D24" s="39"/>
      <c r="E24" s="38"/>
      <c r="F24" s="38"/>
      <c r="G24" s="38"/>
      <c r="H24" s="40"/>
      <c r="I24" s="38"/>
      <c r="J24" s="41"/>
      <c r="K24" s="40"/>
    </row>
    <row r="25" customFormat="false" ht="15" hidden="false" customHeight="false" outlineLevel="0" collapsed="false">
      <c r="A25" s="32"/>
      <c r="B25" s="33"/>
      <c r="C25" s="33"/>
      <c r="D25" s="34"/>
      <c r="E25" s="33"/>
      <c r="F25" s="33"/>
      <c r="G25" s="33"/>
      <c r="H25" s="35"/>
      <c r="I25" s="33"/>
      <c r="J25" s="36"/>
      <c r="K25" s="35"/>
    </row>
    <row r="26" customFormat="false" ht="15" hidden="false" customHeight="false" outlineLevel="0" collapsed="false">
      <c r="A26" s="37"/>
      <c r="B26" s="38"/>
      <c r="C26" s="38"/>
      <c r="D26" s="39"/>
      <c r="E26" s="38"/>
      <c r="F26" s="38"/>
      <c r="G26" s="38"/>
      <c r="H26" s="40"/>
      <c r="I26" s="38"/>
      <c r="J26" s="41"/>
      <c r="K26" s="40"/>
    </row>
    <row r="27" customFormat="false" ht="15" hidden="false" customHeight="false" outlineLevel="0" collapsed="false">
      <c r="A27" s="32"/>
      <c r="B27" s="33"/>
      <c r="C27" s="33"/>
      <c r="D27" s="34"/>
      <c r="E27" s="33"/>
      <c r="F27" s="33"/>
      <c r="G27" s="33"/>
      <c r="H27" s="35"/>
      <c r="I27" s="33"/>
      <c r="J27" s="36"/>
      <c r="K27" s="35"/>
    </row>
    <row r="28" customFormat="false" ht="15" hidden="false" customHeight="false" outlineLevel="0" collapsed="false">
      <c r="A28" s="37"/>
      <c r="B28" s="38"/>
      <c r="C28" s="38"/>
      <c r="D28" s="39"/>
      <c r="E28" s="38"/>
      <c r="F28" s="38"/>
      <c r="G28" s="38"/>
      <c r="H28" s="40"/>
      <c r="I28" s="38"/>
      <c r="J28" s="41"/>
      <c r="K28" s="40"/>
    </row>
    <row r="29" customFormat="false" ht="15" hidden="false" customHeight="false" outlineLevel="0" collapsed="false">
      <c r="A29" s="32"/>
      <c r="B29" s="33"/>
      <c r="C29" s="33"/>
      <c r="D29" s="34"/>
      <c r="E29" s="33"/>
      <c r="F29" s="33"/>
      <c r="G29" s="33"/>
      <c r="H29" s="35"/>
      <c r="I29" s="33"/>
      <c r="J29" s="36"/>
      <c r="K29" s="35"/>
    </row>
    <row r="30" customFormat="false" ht="15" hidden="false" customHeight="false" outlineLevel="0" collapsed="false">
      <c r="A30" s="37"/>
      <c r="B30" s="38"/>
      <c r="C30" s="38"/>
      <c r="D30" s="39"/>
      <c r="E30" s="38"/>
      <c r="F30" s="38"/>
      <c r="G30" s="38"/>
      <c r="H30" s="40"/>
      <c r="I30" s="38"/>
      <c r="J30" s="41"/>
      <c r="K30" s="40"/>
    </row>
    <row r="31" customFormat="false" ht="15" hidden="false" customHeight="false" outlineLevel="0" collapsed="false">
      <c r="A31" s="32"/>
      <c r="B31" s="33"/>
      <c r="C31" s="33"/>
      <c r="D31" s="34"/>
      <c r="E31" s="33"/>
      <c r="F31" s="33"/>
      <c r="G31" s="33"/>
      <c r="H31" s="35"/>
      <c r="I31" s="33"/>
      <c r="J31" s="36"/>
      <c r="K31" s="35"/>
    </row>
    <row r="32" customFormat="false" ht="15" hidden="false" customHeight="false" outlineLevel="0" collapsed="false">
      <c r="A32" s="37"/>
      <c r="B32" s="38"/>
      <c r="C32" s="38"/>
      <c r="D32" s="39"/>
      <c r="E32" s="38"/>
      <c r="F32" s="38"/>
      <c r="G32" s="38"/>
      <c r="H32" s="40"/>
      <c r="I32" s="38"/>
      <c r="J32" s="41"/>
      <c r="K32" s="40"/>
    </row>
    <row r="33" customFormat="false" ht="15" hidden="false" customHeight="false" outlineLevel="0" collapsed="false">
      <c r="A33" s="32"/>
      <c r="B33" s="33"/>
      <c r="C33" s="33"/>
      <c r="D33" s="34"/>
      <c r="E33" s="33"/>
      <c r="F33" s="33"/>
      <c r="G33" s="33"/>
      <c r="H33" s="35"/>
      <c r="I33" s="33"/>
      <c r="J33" s="36"/>
      <c r="K33" s="35"/>
    </row>
    <row r="34" customFormat="false" ht="15" hidden="false" customHeight="false" outlineLevel="0" collapsed="false">
      <c r="A34" s="37"/>
      <c r="B34" s="38"/>
      <c r="C34" s="38"/>
      <c r="D34" s="39"/>
      <c r="E34" s="38"/>
      <c r="F34" s="38"/>
      <c r="G34" s="38"/>
      <c r="H34" s="40"/>
      <c r="I34" s="38"/>
      <c r="J34" s="41"/>
      <c r="K34" s="40"/>
    </row>
    <row r="35" customFormat="false" ht="15" hidden="false" customHeight="false" outlineLevel="0" collapsed="false">
      <c r="A35" s="32"/>
      <c r="B35" s="33"/>
      <c r="C35" s="33"/>
      <c r="D35" s="34"/>
      <c r="E35" s="33"/>
      <c r="F35" s="33"/>
      <c r="G35" s="33"/>
      <c r="H35" s="35"/>
      <c r="I35" s="33"/>
      <c r="J35" s="36"/>
      <c r="K35" s="35"/>
    </row>
    <row r="36" customFormat="false" ht="15" hidden="false" customHeight="false" outlineLevel="0" collapsed="false">
      <c r="A36" s="37"/>
      <c r="B36" s="38"/>
      <c r="C36" s="38"/>
      <c r="D36" s="39"/>
      <c r="E36" s="38"/>
      <c r="F36" s="38"/>
      <c r="G36" s="38"/>
      <c r="H36" s="40"/>
      <c r="I36" s="38"/>
      <c r="J36" s="41"/>
      <c r="K36" s="40"/>
    </row>
    <row r="37" customFormat="false" ht="15" hidden="false" customHeight="false" outlineLevel="0" collapsed="false">
      <c r="A37" s="32"/>
      <c r="B37" s="33"/>
      <c r="C37" s="33"/>
      <c r="D37" s="34"/>
      <c r="E37" s="33"/>
      <c r="F37" s="33"/>
      <c r="G37" s="33"/>
      <c r="H37" s="35"/>
      <c r="I37" s="33"/>
      <c r="J37" s="36"/>
      <c r="K37" s="35"/>
    </row>
    <row r="38" customFormat="false" ht="15" hidden="false" customHeight="false" outlineLevel="0" collapsed="false">
      <c r="A38" s="37"/>
      <c r="B38" s="38"/>
      <c r="C38" s="38"/>
      <c r="D38" s="39"/>
      <c r="E38" s="38"/>
      <c r="F38" s="38"/>
      <c r="G38" s="38"/>
      <c r="H38" s="40"/>
      <c r="I38" s="38"/>
      <c r="J38" s="41"/>
      <c r="K38" s="40"/>
    </row>
    <row r="39" customFormat="false" ht="15" hidden="false" customHeight="false" outlineLevel="0" collapsed="false">
      <c r="A39" s="32"/>
      <c r="B39" s="33"/>
      <c r="C39" s="33"/>
      <c r="D39" s="34"/>
      <c r="E39" s="33"/>
      <c r="F39" s="33"/>
      <c r="G39" s="33"/>
      <c r="H39" s="35"/>
      <c r="I39" s="33"/>
      <c r="J39" s="36"/>
      <c r="K39" s="35"/>
    </row>
    <row r="40" customFormat="false" ht="15" hidden="false" customHeight="false" outlineLevel="0" collapsed="false">
      <c r="A40" s="37"/>
      <c r="B40" s="38"/>
      <c r="C40" s="38"/>
      <c r="D40" s="39"/>
      <c r="E40" s="38"/>
      <c r="F40" s="38"/>
      <c r="G40" s="38"/>
      <c r="H40" s="40"/>
      <c r="I40" s="38"/>
      <c r="J40" s="41"/>
      <c r="K40" s="40"/>
    </row>
    <row r="41" customFormat="false" ht="15" hidden="false" customHeight="false" outlineLevel="0" collapsed="false">
      <c r="A41" s="32"/>
      <c r="B41" s="33"/>
      <c r="C41" s="33"/>
      <c r="D41" s="34"/>
      <c r="E41" s="33"/>
      <c r="F41" s="33"/>
      <c r="G41" s="33"/>
      <c r="H41" s="35"/>
      <c r="I41" s="33"/>
      <c r="J41" s="36"/>
      <c r="K41" s="35"/>
    </row>
    <row r="42" customFormat="false" ht="15" hidden="false" customHeight="false" outlineLevel="0" collapsed="false">
      <c r="A42" s="37"/>
      <c r="B42" s="38"/>
      <c r="C42" s="38"/>
      <c r="D42" s="39"/>
      <c r="E42" s="38"/>
      <c r="F42" s="38"/>
      <c r="G42" s="38"/>
      <c r="H42" s="40"/>
      <c r="I42" s="38"/>
      <c r="J42" s="41"/>
      <c r="K42" s="40"/>
    </row>
    <row r="43" customFormat="false" ht="15" hidden="false" customHeight="false" outlineLevel="0" collapsed="false">
      <c r="A43" s="32"/>
      <c r="B43" s="33"/>
      <c r="C43" s="33"/>
      <c r="D43" s="34"/>
      <c r="E43" s="33"/>
      <c r="F43" s="33"/>
      <c r="G43" s="33"/>
      <c r="H43" s="35"/>
      <c r="I43" s="33"/>
      <c r="J43" s="36"/>
      <c r="K43" s="35"/>
    </row>
    <row r="44" customFormat="false" ht="15" hidden="false" customHeight="false" outlineLevel="0" collapsed="false">
      <c r="A44" s="37"/>
      <c r="B44" s="38"/>
      <c r="C44" s="38"/>
      <c r="D44" s="39"/>
      <c r="E44" s="38"/>
      <c r="F44" s="38"/>
      <c r="G44" s="38"/>
      <c r="H44" s="40"/>
      <c r="I44" s="38"/>
      <c r="J44" s="41"/>
      <c r="K44" s="40"/>
    </row>
    <row r="45" customFormat="false" ht="15" hidden="false" customHeight="false" outlineLevel="0" collapsed="false">
      <c r="A45" s="32"/>
      <c r="B45" s="33"/>
      <c r="C45" s="33"/>
      <c r="D45" s="34"/>
      <c r="E45" s="33"/>
      <c r="F45" s="33"/>
      <c r="G45" s="33"/>
      <c r="H45" s="35"/>
      <c r="I45" s="33"/>
      <c r="J45" s="36"/>
      <c r="K45" s="35"/>
    </row>
    <row r="46" customFormat="false" ht="15" hidden="false" customHeight="false" outlineLevel="0" collapsed="false">
      <c r="A46" s="37"/>
      <c r="B46" s="38"/>
      <c r="C46" s="38"/>
      <c r="D46" s="39"/>
      <c r="E46" s="38"/>
      <c r="F46" s="38"/>
      <c r="G46" s="38"/>
      <c r="H46" s="40"/>
      <c r="I46" s="38"/>
      <c r="J46" s="41"/>
      <c r="K46" s="40"/>
    </row>
    <row r="47" customFormat="false" ht="15" hidden="false" customHeight="false" outlineLevel="0" collapsed="false">
      <c r="A47" s="32"/>
      <c r="B47" s="33"/>
      <c r="C47" s="33"/>
      <c r="D47" s="34"/>
      <c r="E47" s="33"/>
      <c r="F47" s="33"/>
      <c r="G47" s="33"/>
      <c r="H47" s="35"/>
      <c r="I47" s="33"/>
      <c r="J47" s="36"/>
      <c r="K47" s="35"/>
    </row>
    <row r="48" customFormat="false" ht="15" hidden="false" customHeight="false" outlineLevel="0" collapsed="false">
      <c r="A48" s="37"/>
      <c r="B48" s="38"/>
      <c r="C48" s="38"/>
      <c r="D48" s="39"/>
      <c r="E48" s="38"/>
      <c r="F48" s="38"/>
      <c r="G48" s="38"/>
      <c r="H48" s="40"/>
      <c r="I48" s="38"/>
      <c r="J48" s="41"/>
      <c r="K48" s="40"/>
    </row>
    <row r="49" customFormat="false" ht="15" hidden="false" customHeight="false" outlineLevel="0" collapsed="false">
      <c r="A49" s="32"/>
      <c r="B49" s="33"/>
      <c r="C49" s="33"/>
      <c r="D49" s="34"/>
      <c r="E49" s="33"/>
      <c r="F49" s="33"/>
      <c r="G49" s="33"/>
      <c r="H49" s="35"/>
      <c r="I49" s="33"/>
      <c r="J49" s="36"/>
      <c r="K49" s="35"/>
    </row>
    <row r="50" customFormat="false" ht="15" hidden="false" customHeight="false" outlineLevel="0" collapsed="false">
      <c r="A50" s="37"/>
      <c r="B50" s="38"/>
      <c r="C50" s="38"/>
      <c r="D50" s="39"/>
      <c r="E50" s="38"/>
      <c r="F50" s="38"/>
      <c r="G50" s="38"/>
      <c r="H50" s="40"/>
      <c r="I50" s="38"/>
      <c r="J50" s="41"/>
      <c r="K50" s="40"/>
    </row>
    <row r="51" customFormat="false" ht="15" hidden="false" customHeight="false" outlineLevel="0" collapsed="false">
      <c r="A51" s="32"/>
      <c r="B51" s="33"/>
      <c r="C51" s="33"/>
      <c r="D51" s="34"/>
      <c r="E51" s="33"/>
      <c r="F51" s="33"/>
      <c r="G51" s="33"/>
      <c r="H51" s="35"/>
      <c r="I51" s="33"/>
      <c r="J51" s="36"/>
      <c r="K51" s="35"/>
    </row>
    <row r="52" customFormat="false" ht="15" hidden="false" customHeight="false" outlineLevel="0" collapsed="false">
      <c r="A52" s="37"/>
      <c r="B52" s="38"/>
      <c r="C52" s="38"/>
      <c r="D52" s="39"/>
      <c r="E52" s="38"/>
      <c r="F52" s="38"/>
      <c r="G52" s="38"/>
      <c r="H52" s="40"/>
      <c r="I52" s="38"/>
      <c r="J52" s="41"/>
      <c r="K52" s="40"/>
    </row>
    <row r="53" customFormat="false" ht="15" hidden="false" customHeight="false" outlineLevel="0" collapsed="false">
      <c r="A53" s="32"/>
      <c r="B53" s="33"/>
      <c r="C53" s="33"/>
      <c r="D53" s="34"/>
      <c r="E53" s="33"/>
      <c r="F53" s="33"/>
      <c r="G53" s="33"/>
      <c r="H53" s="35"/>
      <c r="I53" s="33"/>
      <c r="J53" s="36"/>
      <c r="K53" s="35"/>
    </row>
    <row r="54" customFormat="false" ht="15" hidden="false" customHeight="false" outlineLevel="0" collapsed="false">
      <c r="A54" s="37"/>
      <c r="B54" s="38"/>
      <c r="C54" s="38"/>
      <c r="D54" s="39"/>
      <c r="E54" s="38"/>
      <c r="F54" s="38"/>
      <c r="G54" s="38"/>
      <c r="H54" s="40"/>
      <c r="I54" s="38"/>
      <c r="J54" s="41"/>
      <c r="K54" s="40"/>
    </row>
    <row r="55" customFormat="false" ht="15" hidden="false" customHeight="false" outlineLevel="0" collapsed="false">
      <c r="A55" s="32"/>
      <c r="B55" s="33"/>
      <c r="C55" s="33"/>
      <c r="D55" s="34"/>
      <c r="E55" s="33"/>
      <c r="F55" s="33"/>
      <c r="G55" s="33"/>
      <c r="H55" s="35"/>
      <c r="I55" s="33"/>
      <c r="J55" s="36"/>
      <c r="K55" s="35"/>
    </row>
    <row r="56" customFormat="false" ht="15" hidden="false" customHeight="false" outlineLevel="0" collapsed="false">
      <c r="A56" s="37"/>
      <c r="B56" s="38"/>
      <c r="C56" s="38"/>
      <c r="D56" s="39"/>
      <c r="E56" s="38"/>
      <c r="F56" s="38"/>
      <c r="G56" s="38"/>
      <c r="H56" s="40"/>
      <c r="I56" s="38"/>
      <c r="J56" s="41"/>
      <c r="K56" s="40"/>
    </row>
    <row r="57" customFormat="false" ht="15" hidden="false" customHeight="false" outlineLevel="0" collapsed="false">
      <c r="A57" s="32"/>
      <c r="B57" s="33"/>
      <c r="C57" s="33"/>
      <c r="D57" s="34"/>
      <c r="E57" s="33"/>
      <c r="F57" s="33"/>
      <c r="G57" s="33"/>
      <c r="H57" s="35"/>
      <c r="I57" s="33"/>
      <c r="J57" s="36"/>
      <c r="K57" s="35"/>
    </row>
    <row r="58" customFormat="false" ht="15" hidden="false" customHeight="false" outlineLevel="0" collapsed="false">
      <c r="A58" s="37"/>
      <c r="B58" s="38"/>
      <c r="C58" s="38"/>
      <c r="D58" s="39"/>
      <c r="E58" s="38"/>
      <c r="F58" s="38"/>
      <c r="G58" s="38"/>
      <c r="H58" s="40"/>
      <c r="I58" s="38"/>
      <c r="J58" s="41"/>
      <c r="K58" s="40"/>
    </row>
    <row r="59" customFormat="false" ht="15" hidden="false" customHeight="false" outlineLevel="0" collapsed="false">
      <c r="A59" s="32"/>
      <c r="B59" s="33"/>
      <c r="C59" s="33"/>
      <c r="D59" s="34"/>
      <c r="E59" s="33"/>
      <c r="F59" s="33"/>
      <c r="G59" s="33"/>
      <c r="H59" s="35"/>
      <c r="I59" s="33"/>
      <c r="J59" s="36"/>
      <c r="K59" s="35"/>
    </row>
    <row r="60" customFormat="false" ht="15" hidden="false" customHeight="false" outlineLevel="0" collapsed="false">
      <c r="A60" s="37"/>
      <c r="B60" s="38"/>
      <c r="C60" s="38"/>
      <c r="D60" s="39"/>
      <c r="E60" s="38"/>
      <c r="F60" s="38"/>
      <c r="G60" s="38"/>
      <c r="H60" s="40"/>
      <c r="I60" s="38"/>
      <c r="J60" s="41"/>
      <c r="K60" s="40"/>
    </row>
  </sheetData>
  <autoFilter ref="A1:K500"/>
  <dataValidations count="3">
    <dataValidation allowBlank="true" errorStyle="stop" operator="between" showDropDown="false" showErrorMessage="false" showInputMessage="false" sqref="C2:C500" type="list">
      <formula1>SectorList</formula1>
      <formula2>0</formula2>
    </dataValidation>
    <dataValidation allowBlank="true" errorStyle="stop" operator="between" showDropDown="false" showErrorMessage="false" showInputMessage="false" sqref="E2:E500" type="list">
      <formula1>StatusList</formula1>
      <formula2>0</formula2>
    </dataValidation>
    <dataValidation allowBlank="true" errorStyle="stop" operator="between" showDropDown="false" showErrorMessage="false" showInputMessage="false" sqref="F2:F500" type="list">
      <formula1>AgencyList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C6A20"/>
    <pageSetUpPr fitToPage="false"/>
  </sheetPr>
  <dimension ref="B1:L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2"/>
    <col collapsed="false" customWidth="true" hidden="false" outlineLevel="0" max="6" min="6" style="0" width="24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2"/>
    <col collapsed="false" customWidth="true" hidden="false" outlineLevel="0" max="10" min="10" style="0" width="22"/>
    <col collapsed="false" customWidth="true" hidden="false" outlineLevel="0" max="11" min="11" style="0" width="10"/>
    <col collapsed="false" customWidth="true" hidden="false" outlineLevel="0" max="12" min="12" style="0" width="13"/>
  </cols>
  <sheetData>
    <row r="1" customFormat="false" ht="19.7" hidden="false" customHeight="false" outlineLevel="0" collapsed="false">
      <c r="B1" s="42" t="s">
        <v>37</v>
      </c>
    </row>
    <row r="2" customFormat="false" ht="15" hidden="false" customHeight="false" outlineLevel="0" collapsed="false">
      <c r="B2" s="2" t="s">
        <v>38</v>
      </c>
    </row>
    <row r="4" customFormat="false" ht="25.5" hidden="false" customHeight="true" outlineLevel="0" collapsed="false">
      <c r="B4" s="43" t="str">
        <f aca="false">"TOTAL PIPELINE:   "&amp;COUNTA('Deal Tracker'!$C$2:$C$500)&amp;IF(COUNTA('Deal Tracker'!$C$2:$C$500)=1," deal   ·   "," deals   ·   ")&amp;IF(SUM('Deal Tracker'!$D$2:$D$500)&gt;=1000,"$"&amp;TEXT(SUM('Deal Tracker'!$D$2:$D$500)/1000,"#,##0.0")&amp;"B","$"&amp;TEXT(SUM('Deal Tracker'!$D$2:$D$500),"#,##0")&amp;"M")</f>
        <v>TOTAL PIPELINE:   3 deals   ·   $8.3B</v>
      </c>
      <c r="C4" s="43"/>
      <c r="D4" s="43"/>
      <c r="E4" s="43"/>
      <c r="F4" s="43"/>
      <c r="G4" s="43"/>
      <c r="H4" s="43"/>
      <c r="I4" s="43"/>
      <c r="J4" s="43"/>
      <c r="K4" s="43"/>
      <c r="L4" s="43"/>
    </row>
    <row r="6" customFormat="false" ht="15" hidden="false" customHeight="false" outlineLevel="0" collapsed="false">
      <c r="B6" s="44" t="s">
        <v>39</v>
      </c>
      <c r="F6" s="44" t="s">
        <v>40</v>
      </c>
      <c r="J6" s="44" t="s">
        <v>41</v>
      </c>
    </row>
    <row r="7" customFormat="false" ht="15" hidden="false" customHeight="false" outlineLevel="0" collapsed="false">
      <c r="B7" s="45" t="s">
        <v>13</v>
      </c>
      <c r="C7" s="26" t="s">
        <v>42</v>
      </c>
      <c r="D7" s="26" t="s">
        <v>43</v>
      </c>
      <c r="F7" s="45" t="s">
        <v>15</v>
      </c>
      <c r="G7" s="26" t="s">
        <v>42</v>
      </c>
      <c r="H7" s="26" t="s">
        <v>43</v>
      </c>
      <c r="J7" s="45" t="s">
        <v>44</v>
      </c>
      <c r="K7" s="26" t="s">
        <v>42</v>
      </c>
      <c r="L7" s="26" t="s">
        <v>43</v>
      </c>
    </row>
    <row r="8" customFormat="false" ht="15" hidden="false" customHeight="false" outlineLevel="0" collapsed="false">
      <c r="B8" s="46" t="str">
        <f aca="false">'Reference Lists'!A5</f>
        <v>Nuclear</v>
      </c>
      <c r="C8" s="47" t="n">
        <f aca="false">COUNTIF('Deal Tracker'!$C$2:$C$500,$B8)</f>
        <v>1</v>
      </c>
      <c r="D8" s="47" t="n">
        <f aca="false">SUMIF('Deal Tracker'!$C$2:$C$500,$B8,'Deal Tracker'!$D$2:$D$500)</f>
        <v>2500</v>
      </c>
      <c r="F8" s="46" t="str">
        <f aca="false">'Reference Lists'!C5</f>
        <v>Intake</v>
      </c>
      <c r="G8" s="47" t="n">
        <f aca="false">COUNTIF('Deal Tracker'!$E$2:$E$500,$F8)</f>
        <v>0</v>
      </c>
      <c r="H8" s="47" t="n">
        <f aca="false">SUMIF('Deal Tracker'!$E$2:$E$500,$F8,'Deal Tracker'!$D$2:$D$500)</f>
        <v>0</v>
      </c>
      <c r="J8" s="46" t="str">
        <f aca="false">IF('Reference Lists'!F5="","",'Reference Lists'!F5)</f>
        <v>DOE</v>
      </c>
      <c r="K8" s="47" t="n">
        <f aca="false">IF($J8="","",COUNTIF('Deal Tracker'!$F$2:$F$500,$J8))</f>
        <v>1</v>
      </c>
      <c r="L8" s="47" t="n">
        <f aca="false">IF($J8="","",SUMIF('Deal Tracker'!$F$2:$F$500,$J8,'Deal Tracker'!$D$2:$D$500))</f>
        <v>2500</v>
      </c>
    </row>
    <row r="9" customFormat="false" ht="15" hidden="false" customHeight="false" outlineLevel="0" collapsed="false">
      <c r="B9" s="46" t="str">
        <f aca="false">'Reference Lists'!A6</f>
        <v>Gas</v>
      </c>
      <c r="C9" s="47" t="n">
        <f aca="false">COUNTIF('Deal Tracker'!$C$2:$C$500,$B9)</f>
        <v>0</v>
      </c>
      <c r="D9" s="47" t="n">
        <f aca="false">SUMIF('Deal Tracker'!$C$2:$C$500,$B9,'Deal Tracker'!$D$2:$D$500)</f>
        <v>0</v>
      </c>
      <c r="F9" s="46" t="str">
        <f aca="false">'Reference Lists'!C6</f>
        <v>Under Review</v>
      </c>
      <c r="G9" s="47" t="n">
        <f aca="false">COUNTIF('Deal Tracker'!$E$2:$E$500,$F9)</f>
        <v>1</v>
      </c>
      <c r="H9" s="47" t="n">
        <f aca="false">SUMIF('Deal Tracker'!$E$2:$E$500,$F9,'Deal Tracker'!$D$2:$D$500)</f>
        <v>5000</v>
      </c>
      <c r="J9" s="46" t="str">
        <f aca="false">IF('Reference Lists'!F6="","",'Reference Lists'!F6)</f>
        <v>DOW</v>
      </c>
      <c r="K9" s="47" t="n">
        <f aca="false">IF($J9="","",COUNTIF('Deal Tracker'!$F$2:$F$500,$J9))</f>
        <v>1</v>
      </c>
      <c r="L9" s="47" t="n">
        <f aca="false">IF($J9="","",SUMIF('Deal Tracker'!$F$2:$F$500,$J9,'Deal Tracker'!$D$2:$D$500))</f>
        <v>800</v>
      </c>
    </row>
    <row r="10" customFormat="false" ht="15" hidden="false" customHeight="false" outlineLevel="0" collapsed="false">
      <c r="B10" s="46" t="str">
        <f aca="false">'Reference Lists'!A7</f>
        <v>Oil &amp; Gas Midstream</v>
      </c>
      <c r="C10" s="47" t="n">
        <f aca="false">COUNTIF('Deal Tracker'!$C$2:$C$500,$B10)</f>
        <v>0</v>
      </c>
      <c r="D10" s="47" t="n">
        <f aca="false">SUMIF('Deal Tracker'!$C$2:$C$500,$B10,'Deal Tracker'!$D$2:$D$500)</f>
        <v>0</v>
      </c>
      <c r="F10" s="46" t="str">
        <f aca="false">'Reference Lists'!C7</f>
        <v>Agency Engagement</v>
      </c>
      <c r="G10" s="47" t="n">
        <f aca="false">COUNTIF('Deal Tracker'!$E$2:$E$500,$F10)</f>
        <v>1</v>
      </c>
      <c r="H10" s="47" t="n">
        <f aca="false">SUMIF('Deal Tracker'!$E$2:$E$500,$F10,'Deal Tracker'!$D$2:$D$500)</f>
        <v>800</v>
      </c>
      <c r="J10" s="46" t="str">
        <f aca="false">IF('Reference Lists'!F7="","",'Reference Lists'!F7)</f>
        <v/>
      </c>
      <c r="K10" s="47" t="str">
        <f aca="false">IF($J10="","",COUNTIF('Deal Tracker'!$F$2:$F$500,$J10))</f>
        <v/>
      </c>
      <c r="L10" s="47" t="str">
        <f aca="false">IF($J10="","",SUMIF('Deal Tracker'!$F$2:$F$500,$J10,'Deal Tracker'!$D$2:$D$500))</f>
        <v/>
      </c>
    </row>
    <row r="11" customFormat="false" ht="15" hidden="false" customHeight="false" outlineLevel="0" collapsed="false">
      <c r="B11" s="46" t="str">
        <f aca="false">'Reference Lists'!A8</f>
        <v>Ships</v>
      </c>
      <c r="C11" s="47" t="n">
        <f aca="false">COUNTIF('Deal Tracker'!$C$2:$C$500,$B11)</f>
        <v>1</v>
      </c>
      <c r="D11" s="47" t="n">
        <f aca="false">SUMIF('Deal Tracker'!$C$2:$C$500,$B11,'Deal Tracker'!$D$2:$D$500)</f>
        <v>800</v>
      </c>
      <c r="F11" s="46" t="str">
        <f aca="false">'Reference Lists'!C8</f>
        <v>Diligence</v>
      </c>
      <c r="G11" s="47" t="n">
        <f aca="false">COUNTIF('Deal Tracker'!$E$2:$E$500,$F11)</f>
        <v>1</v>
      </c>
      <c r="H11" s="47" t="n">
        <f aca="false">SUMIF('Deal Tracker'!$E$2:$E$500,$F11,'Deal Tracker'!$D$2:$D$500)</f>
        <v>2500</v>
      </c>
      <c r="J11" s="46" t="str">
        <f aca="false">IF('Reference Lists'!F8="","",'Reference Lists'!F8)</f>
        <v/>
      </c>
      <c r="K11" s="47" t="str">
        <f aca="false">IF($J11="","",COUNTIF('Deal Tracker'!$F$2:$F$500,$J11))</f>
        <v/>
      </c>
      <c r="L11" s="47" t="str">
        <f aca="false">IF($J11="","",SUMIF('Deal Tracker'!$F$2:$F$500,$J11,'Deal Tracker'!$D$2:$D$500))</f>
        <v/>
      </c>
    </row>
    <row r="12" customFormat="false" ht="15" hidden="false" customHeight="false" outlineLevel="0" collapsed="false">
      <c r="B12" s="46" t="str">
        <f aca="false">'Reference Lists'!A9</f>
        <v>Minerals &amp; Metals</v>
      </c>
      <c r="C12" s="47" t="n">
        <f aca="false">COUNTIF('Deal Tracker'!$C$2:$C$500,$B12)</f>
        <v>0</v>
      </c>
      <c r="D12" s="47" t="n">
        <f aca="false">SUMIF('Deal Tracker'!$C$2:$C$500,$B12,'Deal Tracker'!$D$2:$D$500)</f>
        <v>0</v>
      </c>
      <c r="F12" s="46" t="str">
        <f aca="false">'Reference Lists'!C9</f>
        <v>Negotiating Terms</v>
      </c>
      <c r="G12" s="47" t="n">
        <f aca="false">COUNTIF('Deal Tracker'!$E$2:$E$500,$F12)</f>
        <v>0</v>
      </c>
      <c r="H12" s="47" t="n">
        <f aca="false">SUMIF('Deal Tracker'!$E$2:$E$500,$F12,'Deal Tracker'!$D$2:$D$500)</f>
        <v>0</v>
      </c>
      <c r="J12" s="46" t="str">
        <f aca="false">IF('Reference Lists'!F9="","",'Reference Lists'!F9)</f>
        <v/>
      </c>
      <c r="K12" s="47" t="str">
        <f aca="false">IF($J12="","",COUNTIF('Deal Tracker'!$F$2:$F$500,$J12))</f>
        <v/>
      </c>
      <c r="L12" s="47" t="str">
        <f aca="false">IF($J12="","",SUMIF('Deal Tracker'!$F$2:$F$500,$J12,'Deal Tracker'!$D$2:$D$500))</f>
        <v/>
      </c>
    </row>
    <row r="13" customFormat="false" ht="15" hidden="false" customHeight="false" outlineLevel="0" collapsed="false">
      <c r="B13" s="46" t="str">
        <f aca="false">'Reference Lists'!A10</f>
        <v>Pharma</v>
      </c>
      <c r="C13" s="47" t="n">
        <f aca="false">COUNTIF('Deal Tracker'!$C$2:$C$500,$B13)</f>
        <v>0</v>
      </c>
      <c r="D13" s="47" t="n">
        <f aca="false">SUMIF('Deal Tracker'!$C$2:$C$500,$B13,'Deal Tracker'!$D$2:$D$500)</f>
        <v>0</v>
      </c>
      <c r="F13" s="46" t="str">
        <f aca="false">'Reference Lists'!C10</f>
        <v>Committed / Announced</v>
      </c>
      <c r="G13" s="47" t="n">
        <f aca="false">COUNTIF('Deal Tracker'!$E$2:$E$500,$F13)</f>
        <v>0</v>
      </c>
      <c r="H13" s="47" t="n">
        <f aca="false">SUMIF('Deal Tracker'!$E$2:$E$500,$F13,'Deal Tracker'!$D$2:$D$500)</f>
        <v>0</v>
      </c>
      <c r="J13" s="46" t="str">
        <f aca="false">IF('Reference Lists'!F10="","",'Reference Lists'!F10)</f>
        <v/>
      </c>
      <c r="K13" s="47" t="str">
        <f aca="false">IF($J13="","",COUNTIF('Deal Tracker'!$F$2:$F$500,$J13))</f>
        <v/>
      </c>
      <c r="L13" s="47" t="str">
        <f aca="false">IF($J13="","",SUMIF('Deal Tracker'!$F$2:$F$500,$J13,'Deal Tracker'!$D$2:$D$500))</f>
        <v/>
      </c>
    </row>
    <row r="14" customFormat="false" ht="15" hidden="false" customHeight="false" outlineLevel="0" collapsed="false">
      <c r="B14" s="46" t="str">
        <f aca="false">'Reference Lists'!A11</f>
        <v>Semiconductors</v>
      </c>
      <c r="C14" s="47" t="n">
        <f aca="false">COUNTIF('Deal Tracker'!$C$2:$C$500,$B14)</f>
        <v>1</v>
      </c>
      <c r="D14" s="47" t="n">
        <f aca="false">SUMIF('Deal Tracker'!$C$2:$C$500,$B14,'Deal Tracker'!$D$2:$D$500)</f>
        <v>5000</v>
      </c>
      <c r="F14" s="46" t="str">
        <f aca="false">'Reference Lists'!C11</f>
        <v>Closed</v>
      </c>
      <c r="G14" s="47" t="n">
        <f aca="false">COUNTIF('Deal Tracker'!$E$2:$E$500,$F14)</f>
        <v>0</v>
      </c>
      <c r="H14" s="47" t="n">
        <f aca="false">SUMIF('Deal Tracker'!$E$2:$E$500,$F14,'Deal Tracker'!$D$2:$D$500)</f>
        <v>0</v>
      </c>
      <c r="J14" s="46" t="str">
        <f aca="false">IF('Reference Lists'!F11="","",'Reference Lists'!F11)</f>
        <v/>
      </c>
      <c r="K14" s="47" t="str">
        <f aca="false">IF($J14="","",COUNTIF('Deal Tracker'!$F$2:$F$500,$J14))</f>
        <v/>
      </c>
      <c r="L14" s="47" t="str">
        <f aca="false">IF($J14="","",SUMIF('Deal Tracker'!$F$2:$F$500,$J14,'Deal Tracker'!$D$2:$D$500))</f>
        <v/>
      </c>
    </row>
    <row r="15" customFormat="false" ht="15" hidden="false" customHeight="false" outlineLevel="0" collapsed="false">
      <c r="B15" s="46" t="str">
        <f aca="false">'Reference Lists'!A12</f>
        <v>Advanced Manufacturing</v>
      </c>
      <c r="C15" s="47" t="n">
        <f aca="false">COUNTIF('Deal Tracker'!$C$2:$C$500,$B15)</f>
        <v>0</v>
      </c>
      <c r="D15" s="47" t="n">
        <f aca="false">SUMIF('Deal Tracker'!$C$2:$C$500,$B15,'Deal Tracker'!$D$2:$D$500)</f>
        <v>0</v>
      </c>
      <c r="F15" s="46" t="str">
        <f aca="false">'Reference Lists'!C12</f>
        <v>On Hold</v>
      </c>
      <c r="G15" s="47" t="n">
        <f aca="false">COUNTIF('Deal Tracker'!$E$2:$E$500,$F15)</f>
        <v>0</v>
      </c>
      <c r="H15" s="47" t="n">
        <f aca="false">SUMIF('Deal Tracker'!$E$2:$E$500,$F15,'Deal Tracker'!$D$2:$D$500)</f>
        <v>0</v>
      </c>
      <c r="J15" s="46" t="str">
        <f aca="false">IF('Reference Lists'!F12="","",'Reference Lists'!F12)</f>
        <v/>
      </c>
      <c r="K15" s="47" t="str">
        <f aca="false">IF($J15="","",COUNTIF('Deal Tracker'!$F$2:$F$500,$J15))</f>
        <v/>
      </c>
      <c r="L15" s="47" t="str">
        <f aca="false">IF($J15="","",SUMIF('Deal Tracker'!$F$2:$F$500,$J15,'Deal Tracker'!$D$2:$D$500))</f>
        <v/>
      </c>
    </row>
    <row r="16" customFormat="false" ht="15" hidden="false" customHeight="false" outlineLevel="0" collapsed="false">
      <c r="B16" s="46" t="str">
        <f aca="false">'Reference Lists'!A13</f>
        <v>Chemicals</v>
      </c>
      <c r="C16" s="47" t="n">
        <f aca="false">COUNTIF('Deal Tracker'!$C$2:$C$500,$B16)</f>
        <v>0</v>
      </c>
      <c r="D16" s="47" t="n">
        <f aca="false">SUMIF('Deal Tracker'!$C$2:$C$500,$B16,'Deal Tracker'!$D$2:$D$500)</f>
        <v>0</v>
      </c>
      <c r="F16" s="46" t="str">
        <f aca="false">'Reference Lists'!C13</f>
        <v>Withdrawn</v>
      </c>
      <c r="G16" s="47" t="n">
        <f aca="false">COUNTIF('Deal Tracker'!$E$2:$E$500,$F16)</f>
        <v>0</v>
      </c>
      <c r="H16" s="47" t="n">
        <f aca="false">SUMIF('Deal Tracker'!$E$2:$E$500,$F16,'Deal Tracker'!$D$2:$D$500)</f>
        <v>0</v>
      </c>
      <c r="J16" s="46" t="str">
        <f aca="false">IF('Reference Lists'!F13="","",'Reference Lists'!F13)</f>
        <v/>
      </c>
      <c r="K16" s="47" t="str">
        <f aca="false">IF($J16="","",COUNTIF('Deal Tracker'!$F$2:$F$500,$J16))</f>
        <v/>
      </c>
      <c r="L16" s="47" t="str">
        <f aca="false">IF($J16="","",SUMIF('Deal Tracker'!$F$2:$F$500,$J16,'Deal Tracker'!$D$2:$D$500))</f>
        <v/>
      </c>
    </row>
    <row r="17" customFormat="false" ht="15" hidden="false" customHeight="false" outlineLevel="0" collapsed="false">
      <c r="B17" s="48" t="s">
        <v>45</v>
      </c>
      <c r="C17" s="49" t="n">
        <f aca="false">SUM(C8:C16)</f>
        <v>3</v>
      </c>
      <c r="D17" s="49" t="n">
        <f aca="false">SUM(D8:D16)</f>
        <v>8300</v>
      </c>
      <c r="F17" s="48" t="s">
        <v>45</v>
      </c>
      <c r="G17" s="49" t="n">
        <f aca="false">SUM(G8:G16)</f>
        <v>3</v>
      </c>
      <c r="H17" s="49" t="n">
        <f aca="false">SUM(H8:H16)</f>
        <v>8300</v>
      </c>
      <c r="J17" s="46" t="str">
        <f aca="false">IF('Reference Lists'!F14="","",'Reference Lists'!F14)</f>
        <v/>
      </c>
      <c r="K17" s="47" t="str">
        <f aca="false">IF($J17="","",COUNTIF('Deal Tracker'!$F$2:$F$500,$J17))</f>
        <v/>
      </c>
      <c r="L17" s="47" t="str">
        <f aca="false">IF($J17="","",SUMIF('Deal Tracker'!$F$2:$F$500,$J17,'Deal Tracker'!$D$2:$D$500))</f>
        <v/>
      </c>
    </row>
    <row r="18" customFormat="false" ht="15" hidden="false" customHeight="false" outlineLevel="0" collapsed="false">
      <c r="J18" s="46" t="str">
        <f aca="false">IF('Reference Lists'!F15="","",'Reference Lists'!F15)</f>
        <v/>
      </c>
      <c r="K18" s="47" t="str">
        <f aca="false">IF($J18="","",COUNTIF('Deal Tracker'!$F$2:$F$500,$J18))</f>
        <v/>
      </c>
      <c r="L18" s="47" t="str">
        <f aca="false">IF($J18="","",SUMIF('Deal Tracker'!$F$2:$F$500,$J18,'Deal Tracker'!$D$2:$D$500))</f>
        <v/>
      </c>
    </row>
    <row r="19" customFormat="false" ht="15" hidden="false" customHeight="false" outlineLevel="0" collapsed="false">
      <c r="J19" s="46" t="str">
        <f aca="false">IF('Reference Lists'!F16="","",'Reference Lists'!F16)</f>
        <v/>
      </c>
      <c r="K19" s="47" t="str">
        <f aca="false">IF($J19="","",COUNTIF('Deal Tracker'!$F$2:$F$500,$J19))</f>
        <v/>
      </c>
      <c r="L19" s="47" t="str">
        <f aca="false">IF($J19="","",SUMIF('Deal Tracker'!$F$2:$F$500,$J19,'Deal Tracker'!$D$2:$D$500))</f>
        <v/>
      </c>
    </row>
    <row r="20" customFormat="false" ht="15" hidden="false" customHeight="false" outlineLevel="0" collapsed="false">
      <c r="J20" s="46" t="str">
        <f aca="false">IF('Reference Lists'!F17="","",'Reference Lists'!F17)</f>
        <v/>
      </c>
      <c r="K20" s="47" t="str">
        <f aca="false">IF($J20="","",COUNTIF('Deal Tracker'!$F$2:$F$500,$J20))</f>
        <v/>
      </c>
      <c r="L20" s="47" t="str">
        <f aca="false">IF($J20="","",SUMIF('Deal Tracker'!$F$2:$F$500,$J20,'Deal Tracker'!$D$2:$D$500))</f>
        <v/>
      </c>
    </row>
    <row r="21" customFormat="false" ht="15" hidden="false" customHeight="false" outlineLevel="0" collapsed="false">
      <c r="J21" s="46" t="str">
        <f aca="false">IF('Reference Lists'!F18="","",'Reference Lists'!F18)</f>
        <v/>
      </c>
      <c r="K21" s="47" t="str">
        <f aca="false">IF($J21="","",COUNTIF('Deal Tracker'!$F$2:$F$500,$J21))</f>
        <v/>
      </c>
      <c r="L21" s="47" t="str">
        <f aca="false">IF($J21="","",SUMIF('Deal Tracker'!$F$2:$F$500,$J21,'Deal Tracker'!$D$2:$D$500))</f>
        <v/>
      </c>
    </row>
  </sheetData>
  <mergeCells count="1">
    <mergeCell ref="B4:L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I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"/>
    <col collapsed="false" customWidth="true" hidden="false" outlineLevel="0" max="3" min="3" style="0" width="24"/>
    <col collapsed="false" customWidth="true" hidden="false" outlineLevel="0" max="4" min="4" style="0" width="44"/>
    <col collapsed="false" customWidth="true" hidden="false" outlineLevel="0" max="5" min="5" style="0" width="3"/>
    <col collapsed="false" customWidth="true" hidden="false" outlineLevel="0" max="6" min="6" style="0" width="24"/>
    <col collapsed="false" customWidth="true" hidden="false" outlineLevel="0" max="7" min="7" style="0" width="3"/>
    <col collapsed="false" customWidth="true" hidden="false" outlineLevel="0" max="8" min="8" style="0" width="24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50" t="s">
        <v>46</v>
      </c>
    </row>
    <row r="2" customFormat="false" ht="15" hidden="false" customHeight="false" outlineLevel="0" collapsed="false">
      <c r="A2" s="51" t="s">
        <v>47</v>
      </c>
    </row>
    <row r="4" customFormat="false" ht="15" hidden="false" customHeight="false" outlineLevel="0" collapsed="false">
      <c r="A4" s="45" t="s">
        <v>48</v>
      </c>
      <c r="C4" s="45" t="s">
        <v>49</v>
      </c>
      <c r="D4" s="45" t="s">
        <v>50</v>
      </c>
      <c r="F4" s="45" t="s">
        <v>51</v>
      </c>
      <c r="H4" s="45" t="s">
        <v>52</v>
      </c>
      <c r="I4" s="45" t="s">
        <v>53</v>
      </c>
    </row>
    <row r="5" customFormat="false" ht="15" hidden="false" customHeight="false" outlineLevel="0" collapsed="false">
      <c r="A5" s="52" t="s">
        <v>2</v>
      </c>
      <c r="C5" s="52" t="s">
        <v>54</v>
      </c>
      <c r="D5" s="53" t="s">
        <v>55</v>
      </c>
      <c r="F5" s="52" t="s">
        <v>25</v>
      </c>
      <c r="H5" s="52" t="str">
        <f aca="false">A5</f>
        <v>Nuclear</v>
      </c>
      <c r="I5" s="52" t="s">
        <v>25</v>
      </c>
    </row>
    <row r="6" customFormat="false" ht="15" hidden="false" customHeight="false" outlineLevel="0" collapsed="false">
      <c r="A6" s="52" t="s">
        <v>3</v>
      </c>
      <c r="C6" s="52" t="s">
        <v>35</v>
      </c>
      <c r="D6" s="53" t="s">
        <v>56</v>
      </c>
      <c r="F6" s="52" t="s">
        <v>31</v>
      </c>
      <c r="H6" s="52" t="str">
        <f aca="false">A6</f>
        <v>Gas</v>
      </c>
      <c r="I6" s="52" t="s">
        <v>25</v>
      </c>
    </row>
    <row r="7" customFormat="false" ht="15" hidden="false" customHeight="false" outlineLevel="0" collapsed="false">
      <c r="A7" s="52" t="s">
        <v>4</v>
      </c>
      <c r="C7" s="52" t="s">
        <v>30</v>
      </c>
      <c r="D7" s="53" t="s">
        <v>57</v>
      </c>
      <c r="F7" s="52"/>
      <c r="H7" s="52" t="str">
        <f aca="false">A7</f>
        <v>Oil &amp; Gas Midstream</v>
      </c>
      <c r="I7" s="52" t="s">
        <v>25</v>
      </c>
    </row>
    <row r="8" customFormat="false" ht="15" hidden="false" customHeight="false" outlineLevel="0" collapsed="false">
      <c r="A8" s="52" t="s">
        <v>5</v>
      </c>
      <c r="C8" s="52" t="s">
        <v>24</v>
      </c>
      <c r="D8" s="53" t="s">
        <v>58</v>
      </c>
      <c r="F8" s="52"/>
      <c r="H8" s="52" t="str">
        <f aca="false">A8</f>
        <v>Ships</v>
      </c>
      <c r="I8" s="52" t="s">
        <v>31</v>
      </c>
    </row>
    <row r="9" customFormat="false" ht="15" hidden="false" customHeight="false" outlineLevel="0" collapsed="false">
      <c r="A9" s="52" t="s">
        <v>6</v>
      </c>
      <c r="C9" s="52" t="s">
        <v>59</v>
      </c>
      <c r="D9" s="53" t="s">
        <v>60</v>
      </c>
      <c r="F9" s="52"/>
      <c r="H9" s="52" t="str">
        <f aca="false">A9</f>
        <v>Minerals &amp; Metals</v>
      </c>
      <c r="I9" s="52"/>
    </row>
    <row r="10" customFormat="false" ht="15" hidden="false" customHeight="false" outlineLevel="0" collapsed="false">
      <c r="A10" s="52" t="s">
        <v>7</v>
      </c>
      <c r="C10" s="52" t="s">
        <v>61</v>
      </c>
      <c r="D10" s="53" t="s">
        <v>62</v>
      </c>
      <c r="F10" s="52"/>
      <c r="H10" s="52" t="str">
        <f aca="false">A10</f>
        <v>Pharma</v>
      </c>
      <c r="I10" s="52"/>
    </row>
    <row r="11" customFormat="false" ht="15" hidden="false" customHeight="false" outlineLevel="0" collapsed="false">
      <c r="A11" s="52" t="s">
        <v>8</v>
      </c>
      <c r="C11" s="52" t="s">
        <v>63</v>
      </c>
      <c r="D11" s="53" t="s">
        <v>64</v>
      </c>
      <c r="F11" s="52"/>
      <c r="H11" s="52" t="str">
        <f aca="false">A11</f>
        <v>Semiconductors</v>
      </c>
      <c r="I11" s="52"/>
    </row>
    <row r="12" customFormat="false" ht="15" hidden="false" customHeight="false" outlineLevel="0" collapsed="false">
      <c r="A12" s="52" t="s">
        <v>9</v>
      </c>
      <c r="C12" s="52" t="s">
        <v>65</v>
      </c>
      <c r="D12" s="53" t="s">
        <v>66</v>
      </c>
      <c r="F12" s="52"/>
      <c r="H12" s="52" t="str">
        <f aca="false">A12</f>
        <v>Advanced Manufacturing</v>
      </c>
      <c r="I12" s="52"/>
    </row>
    <row r="13" customFormat="false" ht="15" hidden="false" customHeight="false" outlineLevel="0" collapsed="false">
      <c r="A13" s="52" t="s">
        <v>10</v>
      </c>
      <c r="C13" s="52" t="s">
        <v>67</v>
      </c>
      <c r="D13" s="53" t="s">
        <v>68</v>
      </c>
      <c r="F13" s="52"/>
      <c r="H13" s="52" t="str">
        <f aca="false">A13</f>
        <v>Chemicals</v>
      </c>
      <c r="I13" s="52"/>
    </row>
    <row r="14" customFormat="false" ht="15" hidden="false" customHeight="false" outlineLevel="0" collapsed="false">
      <c r="F14" s="52"/>
    </row>
    <row r="15" customFormat="false" ht="15" hidden="false" customHeight="false" outlineLevel="0" collapsed="false">
      <c r="F15" s="52"/>
    </row>
    <row r="16" customFormat="false" ht="15" hidden="false" customHeight="false" outlineLevel="0" collapsed="false">
      <c r="F16" s="52"/>
    </row>
    <row r="17" customFormat="false" ht="15" hidden="false" customHeight="false" outlineLevel="0" collapsed="false">
      <c r="F17" s="52"/>
    </row>
    <row r="18" customFormat="false" ht="15" hidden="false" customHeight="false" outlineLevel="0" collapsed="false">
      <c r="F18" s="52"/>
    </row>
    <row r="20" customFormat="false" ht="15" hidden="false" customHeight="false" outlineLevel="0" collapsed="false">
      <c r="F20" s="51" t="s">
        <v>69</v>
      </c>
    </row>
    <row r="22" customFormat="false" ht="15" hidden="false" customHeight="false" outlineLevel="0" collapsed="false">
      <c r="A22" s="54" t="s">
        <v>70</v>
      </c>
      <c r="B22" s="54"/>
      <c r="C22" s="54"/>
      <c r="D22" s="54"/>
      <c r="E22" s="54"/>
    </row>
    <row r="23" customFormat="false" ht="15" hidden="false" customHeight="false" outlineLevel="0" collapsed="false">
      <c r="A23" s="55" t="s">
        <v>71</v>
      </c>
      <c r="B23" s="55"/>
      <c r="C23" s="55"/>
      <c r="D23" s="55"/>
      <c r="E23" s="55"/>
    </row>
    <row r="24" customFormat="false" ht="15" hidden="false" customHeight="false" outlineLevel="0" collapsed="false">
      <c r="A24" s="55" t="s">
        <v>72</v>
      </c>
      <c r="B24" s="55"/>
      <c r="C24" s="55"/>
      <c r="D24" s="55"/>
      <c r="E24" s="55"/>
    </row>
    <row r="25" customFormat="false" ht="15" hidden="false" customHeight="false" outlineLevel="0" collapsed="false">
      <c r="A25" s="55" t="s">
        <v>73</v>
      </c>
      <c r="B25" s="55"/>
      <c r="C25" s="55"/>
      <c r="D25" s="55"/>
      <c r="E25" s="55"/>
    </row>
    <row r="26" customFormat="false" ht="15" hidden="false" customHeight="false" outlineLevel="0" collapsed="false">
      <c r="A26" s="55" t="s">
        <v>74</v>
      </c>
      <c r="B26" s="55"/>
      <c r="C26" s="55"/>
      <c r="D26" s="55"/>
      <c r="E26" s="55"/>
    </row>
    <row r="27" customFormat="false" ht="15" hidden="false" customHeight="false" outlineLevel="0" collapsed="false">
      <c r="A27" s="55" t="s">
        <v>75</v>
      </c>
      <c r="B27" s="55"/>
      <c r="C27" s="55"/>
      <c r="D27" s="55"/>
      <c r="E27" s="55"/>
    </row>
    <row r="28" customFormat="false" ht="15" hidden="false" customHeight="false" outlineLevel="0" collapsed="false">
      <c r="A28" s="55" t="s">
        <v>76</v>
      </c>
      <c r="B28" s="55"/>
      <c r="C28" s="55"/>
      <c r="D28" s="55"/>
      <c r="E28" s="55"/>
    </row>
    <row r="29" customFormat="false" ht="15" hidden="false" customHeight="false" outlineLevel="0" collapsed="false">
      <c r="A29" s="55" t="s">
        <v>77</v>
      </c>
      <c r="B29" s="55"/>
      <c r="C29" s="55"/>
      <c r="D29" s="55"/>
      <c r="E29" s="55"/>
    </row>
  </sheetData>
  <mergeCells count="8">
    <mergeCell ref="A22:E22"/>
    <mergeCell ref="A23:E23"/>
    <mergeCell ref="A24:E24"/>
    <mergeCell ref="A25:E25"/>
    <mergeCell ref="A26:E26"/>
    <mergeCell ref="A27:E27"/>
    <mergeCell ref="A28:E28"/>
    <mergeCell ref="A29:E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78</v>
      </c>
      <c r="B1" s="0" t="s">
        <v>79</v>
      </c>
      <c r="C1" s="0" t="s">
        <v>80</v>
      </c>
      <c r="D1" s="0" t="s">
        <v>81</v>
      </c>
      <c r="E1" s="0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0" t="n">
        <f aca="false">IF('Deal Tracker'!C2="","",COUNTIF('Deal Tracker'!$C$2:C2,'Deal Tracker'!C2))</f>
        <v>1</v>
      </c>
      <c r="B2" s="0" t="str">
        <f aca="false">IF(A2="","",'Deal Tracker'!C2&amp;"#"&amp;A2)</f>
        <v>Nuclear#1</v>
      </c>
      <c r="C2" s="0" t="str">
        <f aca="false">IF('Deal Tracker'!B2="","",'Deal Tracker'!B2)</f>
        <v>Example NuclearCo</v>
      </c>
      <c r="D2" s="0" t="str">
        <f aca="false">IF('Deal Tracker'!B2="","",IF('Deal Tracker'!D2="","TBD","$"&amp;TEXT('Deal Tracker'!D2,"#,##0")&amp;"M"))</f>
        <v>$2,500M</v>
      </c>
      <c r="E2" s="0" t="str">
        <f aca="false">IF('Deal Tracker'!B2="","",IF(AND(F2="",G2=""),"",F2&amp;IF(OR(F2="",G2=""),"","  ·  ")&amp;G2))</f>
        <v>DOE, NRC  ·  Target: Nov 2026</v>
      </c>
      <c r="F2" s="0" t="str">
        <f aca="false">IF('Deal Tracker'!F2="",IF('Deal Tracker'!G2="","",'Deal Tracker'!G2),'Deal Tracker'!F2&amp;IF('Deal Tracker'!G2="","",", "&amp;'Deal Tracker'!G2))</f>
        <v>DOE, NRC</v>
      </c>
      <c r="G2" s="0" t="str">
        <f aca="false">IF('Deal Tracker'!H2="","","Target: "&amp;TEXT('Deal Tracker'!H2,"mmm yyyy"))</f>
        <v>Target: Nov 2026</v>
      </c>
    </row>
    <row r="3" customFormat="false" ht="15" hidden="false" customHeight="false" outlineLevel="0" collapsed="false">
      <c r="A3" s="0" t="n">
        <f aca="false">IF('Deal Tracker'!C3="","",COUNTIF('Deal Tracker'!$C$2:C3,'Deal Tracker'!C3))</f>
        <v>1</v>
      </c>
      <c r="B3" s="0" t="str">
        <f aca="false">IF(A3="","",'Deal Tracker'!C3&amp;"#"&amp;A3)</f>
        <v>Ships#1</v>
      </c>
      <c r="C3" s="0" t="str">
        <f aca="false">IF('Deal Tracker'!B3="","",'Deal Tracker'!B3)</f>
        <v>Example ShipCo</v>
      </c>
      <c r="D3" s="0" t="str">
        <f aca="false">IF('Deal Tracker'!B3="","",IF('Deal Tracker'!D3="","TBD","$"&amp;TEXT('Deal Tracker'!D3,"#,##0")&amp;"M"))</f>
        <v>$800M</v>
      </c>
      <c r="E3" s="0" t="str">
        <f aca="false">IF('Deal Tracker'!B3="","",IF(AND(F3="",G3=""),"",F3&amp;IF(OR(F3="",G3=""),"","  ·  ")&amp;G3))</f>
        <v>DOW  ·  Target: Feb 2027</v>
      </c>
      <c r="F3" s="0" t="str">
        <f aca="false">IF('Deal Tracker'!F3="",IF('Deal Tracker'!G3="","",'Deal Tracker'!G3),'Deal Tracker'!F3&amp;IF('Deal Tracker'!G3="","",", "&amp;'Deal Tracker'!G3))</f>
        <v>DOW</v>
      </c>
      <c r="G3" s="0" t="str">
        <f aca="false">IF('Deal Tracker'!H3="","","Target: "&amp;TEXT('Deal Tracker'!H3,"mmm yyyy"))</f>
        <v>Target: Feb 2027</v>
      </c>
    </row>
    <row r="4" customFormat="false" ht="15" hidden="false" customHeight="false" outlineLevel="0" collapsed="false">
      <c r="A4" s="0" t="n">
        <f aca="false">IF('Deal Tracker'!C4="","",COUNTIF('Deal Tracker'!$C$2:C4,'Deal Tracker'!C4))</f>
        <v>1</v>
      </c>
      <c r="B4" s="0" t="str">
        <f aca="false">IF(A4="","",'Deal Tracker'!C4&amp;"#"&amp;A4)</f>
        <v>Semiconductors#1</v>
      </c>
      <c r="C4" s="0" t="str">
        <f aca="false">IF('Deal Tracker'!B4="","",'Deal Tracker'!B4)</f>
        <v>Example ChipCo</v>
      </c>
      <c r="D4" s="0" t="str">
        <f aca="false">IF('Deal Tracker'!B4="","",IF('Deal Tracker'!D4="","TBD","$"&amp;TEXT('Deal Tracker'!D4,"#,##0")&amp;"M"))</f>
        <v>$5,000M</v>
      </c>
      <c r="E4" s="0" t="str">
        <f aca="false">IF('Deal Tracker'!B4="","",IF(AND(F4="",G4=""),"",F4&amp;IF(OR(F4="",G4=""),"","  ·  ")&amp;G4))</f>
        <v>Target: Sep 2027</v>
      </c>
      <c r="F4" s="0" t="str">
        <f aca="false">IF('Deal Tracker'!F4="",IF('Deal Tracker'!G4="","",'Deal Tracker'!G4),'Deal Tracker'!F4&amp;IF('Deal Tracker'!G4="","",", "&amp;'Deal Tracker'!G4))</f>
        <v/>
      </c>
      <c r="G4" s="0" t="str">
        <f aca="false">IF('Deal Tracker'!H4="","","Target: "&amp;TEXT('Deal Tracker'!H4,"mmm yyyy"))</f>
        <v>Target: Sep 2027</v>
      </c>
    </row>
    <row r="5" customFormat="false" ht="15" hidden="false" customHeight="false" outlineLevel="0" collapsed="false">
      <c r="A5" s="0" t="str">
        <f aca="false">IF('Deal Tracker'!C5="","",COUNTIF('Deal Tracker'!$C$2:C5,'Deal Tracker'!C5))</f>
        <v/>
      </c>
      <c r="B5" s="0" t="str">
        <f aca="false">IF(A5="","",'Deal Tracker'!C5&amp;"#"&amp;A5)</f>
        <v/>
      </c>
      <c r="C5" s="0" t="str">
        <f aca="false">IF('Deal Tracker'!B5="","",'Deal Tracker'!B5)</f>
        <v/>
      </c>
      <c r="D5" s="0" t="str">
        <f aca="false">IF('Deal Tracker'!B5="","",IF('Deal Tracker'!D5="","TBD","$"&amp;TEXT('Deal Tracker'!D5,"#,##0")&amp;"M"))</f>
        <v/>
      </c>
      <c r="E5" s="0" t="str">
        <f aca="false">IF('Deal Tracker'!B5="","",IF(AND(F5="",G5=""),"",F5&amp;IF(OR(F5="",G5=""),"","  ·  ")&amp;G5))</f>
        <v/>
      </c>
      <c r="F5" s="0" t="str">
        <f aca="false">IF('Deal Tracker'!F5="",IF('Deal Tracker'!G5="","",'Deal Tracker'!G5),'Deal Tracker'!F5&amp;IF('Deal Tracker'!G5="","",", "&amp;'Deal Tracker'!G5))</f>
        <v/>
      </c>
      <c r="G5" s="0" t="str">
        <f aca="false">IF('Deal Tracker'!H5="","","Target: "&amp;TEXT('Deal Tracker'!H5,"mmm yyyy"))</f>
        <v/>
      </c>
    </row>
    <row r="6" customFormat="false" ht="15" hidden="false" customHeight="false" outlineLevel="0" collapsed="false">
      <c r="A6" s="0" t="str">
        <f aca="false">IF('Deal Tracker'!C6="","",COUNTIF('Deal Tracker'!$C$2:C6,'Deal Tracker'!C6))</f>
        <v/>
      </c>
      <c r="B6" s="0" t="str">
        <f aca="false">IF(A6="","",'Deal Tracker'!C6&amp;"#"&amp;A6)</f>
        <v/>
      </c>
      <c r="C6" s="0" t="str">
        <f aca="false">IF('Deal Tracker'!B6="","",'Deal Tracker'!B6)</f>
        <v/>
      </c>
      <c r="D6" s="0" t="str">
        <f aca="false">IF('Deal Tracker'!B6="","",IF('Deal Tracker'!D6="","TBD","$"&amp;TEXT('Deal Tracker'!D6,"#,##0")&amp;"M"))</f>
        <v/>
      </c>
      <c r="E6" s="0" t="str">
        <f aca="false">IF('Deal Tracker'!B6="","",IF(AND(F6="",G6=""),"",F6&amp;IF(OR(F6="",G6=""),"","  ·  ")&amp;G6))</f>
        <v/>
      </c>
      <c r="F6" s="0" t="str">
        <f aca="false">IF('Deal Tracker'!F6="",IF('Deal Tracker'!G6="","",'Deal Tracker'!G6),'Deal Tracker'!F6&amp;IF('Deal Tracker'!G6="","",", "&amp;'Deal Tracker'!G6))</f>
        <v/>
      </c>
      <c r="G6" s="0" t="str">
        <f aca="false">IF('Deal Tracker'!H6="","","Target: "&amp;TEXT('Deal Tracker'!H6,"mmm yyyy"))</f>
        <v/>
      </c>
    </row>
    <row r="7" customFormat="false" ht="15" hidden="false" customHeight="false" outlineLevel="0" collapsed="false">
      <c r="A7" s="0" t="str">
        <f aca="false">IF('Deal Tracker'!C7="","",COUNTIF('Deal Tracker'!$C$2:C7,'Deal Tracker'!C7))</f>
        <v/>
      </c>
      <c r="B7" s="0" t="str">
        <f aca="false">IF(A7="","",'Deal Tracker'!C7&amp;"#"&amp;A7)</f>
        <v/>
      </c>
      <c r="C7" s="0" t="str">
        <f aca="false">IF('Deal Tracker'!B7="","",'Deal Tracker'!B7)</f>
        <v/>
      </c>
      <c r="D7" s="0" t="str">
        <f aca="false">IF('Deal Tracker'!B7="","",IF('Deal Tracker'!D7="","TBD","$"&amp;TEXT('Deal Tracker'!D7,"#,##0")&amp;"M"))</f>
        <v/>
      </c>
      <c r="E7" s="0" t="str">
        <f aca="false">IF('Deal Tracker'!B7="","",IF(AND(F7="",G7=""),"",F7&amp;IF(OR(F7="",G7=""),"","  ·  ")&amp;G7))</f>
        <v/>
      </c>
      <c r="F7" s="0" t="str">
        <f aca="false">IF('Deal Tracker'!F7="",IF('Deal Tracker'!G7="","",'Deal Tracker'!G7),'Deal Tracker'!F7&amp;IF('Deal Tracker'!G7="","",", "&amp;'Deal Tracker'!G7))</f>
        <v/>
      </c>
      <c r="G7" s="0" t="str">
        <f aca="false">IF('Deal Tracker'!H7="","","Target: "&amp;TEXT('Deal Tracker'!H7,"mmm yyyy"))</f>
        <v/>
      </c>
    </row>
    <row r="8" customFormat="false" ht="15" hidden="false" customHeight="false" outlineLevel="0" collapsed="false">
      <c r="A8" s="0" t="str">
        <f aca="false">IF('Deal Tracker'!C8="","",COUNTIF('Deal Tracker'!$C$2:C8,'Deal Tracker'!C8))</f>
        <v/>
      </c>
      <c r="B8" s="0" t="str">
        <f aca="false">IF(A8="","",'Deal Tracker'!C8&amp;"#"&amp;A8)</f>
        <v/>
      </c>
      <c r="C8" s="0" t="str">
        <f aca="false">IF('Deal Tracker'!B8="","",'Deal Tracker'!B8)</f>
        <v/>
      </c>
      <c r="D8" s="0" t="str">
        <f aca="false">IF('Deal Tracker'!B8="","",IF('Deal Tracker'!D8="","TBD","$"&amp;TEXT('Deal Tracker'!D8,"#,##0")&amp;"M"))</f>
        <v/>
      </c>
      <c r="E8" s="0" t="str">
        <f aca="false">IF('Deal Tracker'!B8="","",IF(AND(F8="",G8=""),"",F8&amp;IF(OR(F8="",G8=""),"","  ·  ")&amp;G8))</f>
        <v/>
      </c>
      <c r="F8" s="0" t="str">
        <f aca="false">IF('Deal Tracker'!F8="",IF('Deal Tracker'!G8="","",'Deal Tracker'!G8),'Deal Tracker'!F8&amp;IF('Deal Tracker'!G8="","",", "&amp;'Deal Tracker'!G8))</f>
        <v/>
      </c>
      <c r="G8" s="0" t="str">
        <f aca="false">IF('Deal Tracker'!H8="","","Target: "&amp;TEXT('Deal Tracker'!H8,"mmm yyyy"))</f>
        <v/>
      </c>
    </row>
    <row r="9" customFormat="false" ht="15" hidden="false" customHeight="false" outlineLevel="0" collapsed="false">
      <c r="A9" s="0" t="str">
        <f aca="false">IF('Deal Tracker'!C9="","",COUNTIF('Deal Tracker'!$C$2:C9,'Deal Tracker'!C9))</f>
        <v/>
      </c>
      <c r="B9" s="0" t="str">
        <f aca="false">IF(A9="","",'Deal Tracker'!C9&amp;"#"&amp;A9)</f>
        <v/>
      </c>
      <c r="C9" s="0" t="str">
        <f aca="false">IF('Deal Tracker'!B9="","",'Deal Tracker'!B9)</f>
        <v/>
      </c>
      <c r="D9" s="0" t="str">
        <f aca="false">IF('Deal Tracker'!B9="","",IF('Deal Tracker'!D9="","TBD","$"&amp;TEXT('Deal Tracker'!D9,"#,##0")&amp;"M"))</f>
        <v/>
      </c>
      <c r="E9" s="0" t="str">
        <f aca="false">IF('Deal Tracker'!B9="","",IF(AND(F9="",G9=""),"",F9&amp;IF(OR(F9="",G9=""),"","  ·  ")&amp;G9))</f>
        <v/>
      </c>
      <c r="F9" s="0" t="str">
        <f aca="false">IF('Deal Tracker'!F9="",IF('Deal Tracker'!G9="","",'Deal Tracker'!G9),'Deal Tracker'!F9&amp;IF('Deal Tracker'!G9="","",", "&amp;'Deal Tracker'!G9))</f>
        <v/>
      </c>
      <c r="G9" s="0" t="str">
        <f aca="false">IF('Deal Tracker'!H9="","","Target: "&amp;TEXT('Deal Tracker'!H9,"mmm yyyy"))</f>
        <v/>
      </c>
    </row>
    <row r="10" customFormat="false" ht="15" hidden="false" customHeight="false" outlineLevel="0" collapsed="false">
      <c r="A10" s="0" t="str">
        <f aca="false">IF('Deal Tracker'!C10="","",COUNTIF('Deal Tracker'!$C$2:C10,'Deal Tracker'!C10))</f>
        <v/>
      </c>
      <c r="B10" s="0" t="str">
        <f aca="false">IF(A10="","",'Deal Tracker'!C10&amp;"#"&amp;A10)</f>
        <v/>
      </c>
      <c r="C10" s="0" t="str">
        <f aca="false">IF('Deal Tracker'!B10="","",'Deal Tracker'!B10)</f>
        <v/>
      </c>
      <c r="D10" s="0" t="str">
        <f aca="false">IF('Deal Tracker'!B10="","",IF('Deal Tracker'!D10="","TBD","$"&amp;TEXT('Deal Tracker'!D10,"#,##0")&amp;"M"))</f>
        <v/>
      </c>
      <c r="E10" s="0" t="str">
        <f aca="false">IF('Deal Tracker'!B10="","",IF(AND(F10="",G10=""),"",F10&amp;IF(OR(F10="",G10=""),"","  ·  ")&amp;G10))</f>
        <v/>
      </c>
      <c r="F10" s="0" t="str">
        <f aca="false">IF('Deal Tracker'!F10="",IF('Deal Tracker'!G10="","",'Deal Tracker'!G10),'Deal Tracker'!F10&amp;IF('Deal Tracker'!G10="","",", "&amp;'Deal Tracker'!G10))</f>
        <v/>
      </c>
      <c r="G10" s="0" t="str">
        <f aca="false">IF('Deal Tracker'!H10="","","Target: "&amp;TEXT('Deal Tracker'!H10,"mmm yyyy"))</f>
        <v/>
      </c>
    </row>
    <row r="11" customFormat="false" ht="15" hidden="false" customHeight="false" outlineLevel="0" collapsed="false">
      <c r="A11" s="0" t="str">
        <f aca="false">IF('Deal Tracker'!C11="","",COUNTIF('Deal Tracker'!$C$2:C11,'Deal Tracker'!C11))</f>
        <v/>
      </c>
      <c r="B11" s="0" t="str">
        <f aca="false">IF(A11="","",'Deal Tracker'!C11&amp;"#"&amp;A11)</f>
        <v/>
      </c>
      <c r="C11" s="0" t="str">
        <f aca="false">IF('Deal Tracker'!B11="","",'Deal Tracker'!B11)</f>
        <v/>
      </c>
      <c r="D11" s="0" t="str">
        <f aca="false">IF('Deal Tracker'!B11="","",IF('Deal Tracker'!D11="","TBD","$"&amp;TEXT('Deal Tracker'!D11,"#,##0")&amp;"M"))</f>
        <v/>
      </c>
      <c r="E11" s="0" t="str">
        <f aca="false">IF('Deal Tracker'!B11="","",IF(AND(F11="",G11=""),"",F11&amp;IF(OR(F11="",G11=""),"","  ·  ")&amp;G11))</f>
        <v/>
      </c>
      <c r="F11" s="0" t="str">
        <f aca="false">IF('Deal Tracker'!F11="",IF('Deal Tracker'!G11="","",'Deal Tracker'!G11),'Deal Tracker'!F11&amp;IF('Deal Tracker'!G11="","",", "&amp;'Deal Tracker'!G11))</f>
        <v/>
      </c>
      <c r="G11" s="0" t="str">
        <f aca="false">IF('Deal Tracker'!H11="","","Target: "&amp;TEXT('Deal Tracker'!H11,"mmm yyyy"))</f>
        <v/>
      </c>
    </row>
    <row r="12" customFormat="false" ht="15" hidden="false" customHeight="false" outlineLevel="0" collapsed="false">
      <c r="A12" s="0" t="str">
        <f aca="false">IF('Deal Tracker'!C12="","",COUNTIF('Deal Tracker'!$C$2:C12,'Deal Tracker'!C12))</f>
        <v/>
      </c>
      <c r="B12" s="0" t="str">
        <f aca="false">IF(A12="","",'Deal Tracker'!C12&amp;"#"&amp;A12)</f>
        <v/>
      </c>
      <c r="C12" s="0" t="str">
        <f aca="false">IF('Deal Tracker'!B12="","",'Deal Tracker'!B12)</f>
        <v/>
      </c>
      <c r="D12" s="0" t="str">
        <f aca="false">IF('Deal Tracker'!B12="","",IF('Deal Tracker'!D12="","TBD","$"&amp;TEXT('Deal Tracker'!D12,"#,##0")&amp;"M"))</f>
        <v/>
      </c>
      <c r="E12" s="0" t="str">
        <f aca="false">IF('Deal Tracker'!B12="","",IF(AND(F12="",G12=""),"",F12&amp;IF(OR(F12="",G12=""),"","  ·  ")&amp;G12))</f>
        <v/>
      </c>
      <c r="F12" s="0" t="str">
        <f aca="false">IF('Deal Tracker'!F12="",IF('Deal Tracker'!G12="","",'Deal Tracker'!G12),'Deal Tracker'!F12&amp;IF('Deal Tracker'!G12="","",", "&amp;'Deal Tracker'!G12))</f>
        <v/>
      </c>
      <c r="G12" s="0" t="str">
        <f aca="false">IF('Deal Tracker'!H12="","","Target: "&amp;TEXT('Deal Tracker'!H12,"mmm yyyy"))</f>
        <v/>
      </c>
    </row>
    <row r="13" customFormat="false" ht="15" hidden="false" customHeight="false" outlineLevel="0" collapsed="false">
      <c r="A13" s="0" t="str">
        <f aca="false">IF('Deal Tracker'!C13="","",COUNTIF('Deal Tracker'!$C$2:C13,'Deal Tracker'!C13))</f>
        <v/>
      </c>
      <c r="B13" s="0" t="str">
        <f aca="false">IF(A13="","",'Deal Tracker'!C13&amp;"#"&amp;A13)</f>
        <v/>
      </c>
      <c r="C13" s="0" t="str">
        <f aca="false">IF('Deal Tracker'!B13="","",'Deal Tracker'!B13)</f>
        <v/>
      </c>
      <c r="D13" s="0" t="str">
        <f aca="false">IF('Deal Tracker'!B13="","",IF('Deal Tracker'!D13="","TBD","$"&amp;TEXT('Deal Tracker'!D13,"#,##0")&amp;"M"))</f>
        <v/>
      </c>
      <c r="E13" s="0" t="str">
        <f aca="false">IF('Deal Tracker'!B13="","",IF(AND(F13="",G13=""),"",F13&amp;IF(OR(F13="",G13=""),"","  ·  ")&amp;G13))</f>
        <v/>
      </c>
      <c r="F13" s="0" t="str">
        <f aca="false">IF('Deal Tracker'!F13="",IF('Deal Tracker'!G13="","",'Deal Tracker'!G13),'Deal Tracker'!F13&amp;IF('Deal Tracker'!G13="","",", "&amp;'Deal Tracker'!G13))</f>
        <v/>
      </c>
      <c r="G13" s="0" t="str">
        <f aca="false">IF('Deal Tracker'!H13="","","Target: "&amp;TEXT('Deal Tracker'!H13,"mmm yyyy"))</f>
        <v/>
      </c>
    </row>
    <row r="14" customFormat="false" ht="15" hidden="false" customHeight="false" outlineLevel="0" collapsed="false">
      <c r="A14" s="0" t="str">
        <f aca="false">IF('Deal Tracker'!C14="","",COUNTIF('Deal Tracker'!$C$2:C14,'Deal Tracker'!C14))</f>
        <v/>
      </c>
      <c r="B14" s="0" t="str">
        <f aca="false">IF(A14="","",'Deal Tracker'!C14&amp;"#"&amp;A14)</f>
        <v/>
      </c>
      <c r="C14" s="0" t="str">
        <f aca="false">IF('Deal Tracker'!B14="","",'Deal Tracker'!B14)</f>
        <v/>
      </c>
      <c r="D14" s="0" t="str">
        <f aca="false">IF('Deal Tracker'!B14="","",IF('Deal Tracker'!D14="","TBD","$"&amp;TEXT('Deal Tracker'!D14,"#,##0")&amp;"M"))</f>
        <v/>
      </c>
      <c r="E14" s="0" t="str">
        <f aca="false">IF('Deal Tracker'!B14="","",IF(AND(F14="",G14=""),"",F14&amp;IF(OR(F14="",G14=""),"","  ·  ")&amp;G14))</f>
        <v/>
      </c>
      <c r="F14" s="0" t="str">
        <f aca="false">IF('Deal Tracker'!F14="",IF('Deal Tracker'!G14="","",'Deal Tracker'!G14),'Deal Tracker'!F14&amp;IF('Deal Tracker'!G14="","",", "&amp;'Deal Tracker'!G14))</f>
        <v/>
      </c>
      <c r="G14" s="0" t="str">
        <f aca="false">IF('Deal Tracker'!H14="","","Target: "&amp;TEXT('Deal Tracker'!H14,"mmm yyyy"))</f>
        <v/>
      </c>
    </row>
    <row r="15" customFormat="false" ht="15" hidden="false" customHeight="false" outlineLevel="0" collapsed="false">
      <c r="A15" s="0" t="str">
        <f aca="false">IF('Deal Tracker'!C15="","",COUNTIF('Deal Tracker'!$C$2:C15,'Deal Tracker'!C15))</f>
        <v/>
      </c>
      <c r="B15" s="0" t="str">
        <f aca="false">IF(A15="","",'Deal Tracker'!C15&amp;"#"&amp;A15)</f>
        <v/>
      </c>
      <c r="C15" s="0" t="str">
        <f aca="false">IF('Deal Tracker'!B15="","",'Deal Tracker'!B15)</f>
        <v/>
      </c>
      <c r="D15" s="0" t="str">
        <f aca="false">IF('Deal Tracker'!B15="","",IF('Deal Tracker'!D15="","TBD","$"&amp;TEXT('Deal Tracker'!D15,"#,##0")&amp;"M"))</f>
        <v/>
      </c>
      <c r="E15" s="0" t="str">
        <f aca="false">IF('Deal Tracker'!B15="","",IF(AND(F15="",G15=""),"",F15&amp;IF(OR(F15="",G15=""),"","  ·  ")&amp;G15))</f>
        <v/>
      </c>
      <c r="F15" s="0" t="str">
        <f aca="false">IF('Deal Tracker'!F15="",IF('Deal Tracker'!G15="","",'Deal Tracker'!G15),'Deal Tracker'!F15&amp;IF('Deal Tracker'!G15="","",", "&amp;'Deal Tracker'!G15))</f>
        <v/>
      </c>
      <c r="G15" s="0" t="str">
        <f aca="false">IF('Deal Tracker'!H15="","","Target: "&amp;TEXT('Deal Tracker'!H15,"mmm yyyy"))</f>
        <v/>
      </c>
    </row>
    <row r="16" customFormat="false" ht="15" hidden="false" customHeight="false" outlineLevel="0" collapsed="false">
      <c r="A16" s="0" t="str">
        <f aca="false">IF('Deal Tracker'!C16="","",COUNTIF('Deal Tracker'!$C$2:C16,'Deal Tracker'!C16))</f>
        <v/>
      </c>
      <c r="B16" s="0" t="str">
        <f aca="false">IF(A16="","",'Deal Tracker'!C16&amp;"#"&amp;A16)</f>
        <v/>
      </c>
      <c r="C16" s="0" t="str">
        <f aca="false">IF('Deal Tracker'!B16="","",'Deal Tracker'!B16)</f>
        <v/>
      </c>
      <c r="D16" s="0" t="str">
        <f aca="false">IF('Deal Tracker'!B16="","",IF('Deal Tracker'!D16="","TBD","$"&amp;TEXT('Deal Tracker'!D16,"#,##0")&amp;"M"))</f>
        <v/>
      </c>
      <c r="E16" s="0" t="str">
        <f aca="false">IF('Deal Tracker'!B16="","",IF(AND(F16="",G16=""),"",F16&amp;IF(OR(F16="",G16=""),"","  ·  ")&amp;G16))</f>
        <v/>
      </c>
      <c r="F16" s="0" t="str">
        <f aca="false">IF('Deal Tracker'!F16="",IF('Deal Tracker'!G16="","",'Deal Tracker'!G16),'Deal Tracker'!F16&amp;IF('Deal Tracker'!G16="","",", "&amp;'Deal Tracker'!G16))</f>
        <v/>
      </c>
      <c r="G16" s="0" t="str">
        <f aca="false">IF('Deal Tracker'!H16="","","Target: "&amp;TEXT('Deal Tracker'!H16,"mmm yyyy"))</f>
        <v/>
      </c>
    </row>
    <row r="17" customFormat="false" ht="15" hidden="false" customHeight="false" outlineLevel="0" collapsed="false">
      <c r="A17" s="0" t="str">
        <f aca="false">IF('Deal Tracker'!C17="","",COUNTIF('Deal Tracker'!$C$2:C17,'Deal Tracker'!C17))</f>
        <v/>
      </c>
      <c r="B17" s="0" t="str">
        <f aca="false">IF(A17="","",'Deal Tracker'!C17&amp;"#"&amp;A17)</f>
        <v/>
      </c>
      <c r="C17" s="0" t="str">
        <f aca="false">IF('Deal Tracker'!B17="","",'Deal Tracker'!B17)</f>
        <v/>
      </c>
      <c r="D17" s="0" t="str">
        <f aca="false">IF('Deal Tracker'!B17="","",IF('Deal Tracker'!D17="","TBD","$"&amp;TEXT('Deal Tracker'!D17,"#,##0")&amp;"M"))</f>
        <v/>
      </c>
      <c r="E17" s="0" t="str">
        <f aca="false">IF('Deal Tracker'!B17="","",IF(AND(F17="",G17=""),"",F17&amp;IF(OR(F17="",G17=""),"","  ·  ")&amp;G17))</f>
        <v/>
      </c>
      <c r="F17" s="0" t="str">
        <f aca="false">IF('Deal Tracker'!F17="",IF('Deal Tracker'!G17="","",'Deal Tracker'!G17),'Deal Tracker'!F17&amp;IF('Deal Tracker'!G17="","",", "&amp;'Deal Tracker'!G17))</f>
        <v/>
      </c>
      <c r="G17" s="0" t="str">
        <f aca="false">IF('Deal Tracker'!H17="","","Target: "&amp;TEXT('Deal Tracker'!H17,"mmm yyyy"))</f>
        <v/>
      </c>
    </row>
    <row r="18" customFormat="false" ht="15" hidden="false" customHeight="false" outlineLevel="0" collapsed="false">
      <c r="A18" s="0" t="str">
        <f aca="false">IF('Deal Tracker'!C18="","",COUNTIF('Deal Tracker'!$C$2:C18,'Deal Tracker'!C18))</f>
        <v/>
      </c>
      <c r="B18" s="0" t="str">
        <f aca="false">IF(A18="","",'Deal Tracker'!C18&amp;"#"&amp;A18)</f>
        <v/>
      </c>
      <c r="C18" s="0" t="str">
        <f aca="false">IF('Deal Tracker'!B18="","",'Deal Tracker'!B18)</f>
        <v/>
      </c>
      <c r="D18" s="0" t="str">
        <f aca="false">IF('Deal Tracker'!B18="","",IF('Deal Tracker'!D18="","TBD","$"&amp;TEXT('Deal Tracker'!D18,"#,##0")&amp;"M"))</f>
        <v/>
      </c>
      <c r="E18" s="0" t="str">
        <f aca="false">IF('Deal Tracker'!B18="","",IF(AND(F18="",G18=""),"",F18&amp;IF(OR(F18="",G18=""),"","  ·  ")&amp;G18))</f>
        <v/>
      </c>
      <c r="F18" s="0" t="str">
        <f aca="false">IF('Deal Tracker'!F18="",IF('Deal Tracker'!G18="","",'Deal Tracker'!G18),'Deal Tracker'!F18&amp;IF('Deal Tracker'!G18="","",", "&amp;'Deal Tracker'!G18))</f>
        <v/>
      </c>
      <c r="G18" s="0" t="str">
        <f aca="false">IF('Deal Tracker'!H18="","","Target: "&amp;TEXT('Deal Tracker'!H18,"mmm yyyy"))</f>
        <v/>
      </c>
    </row>
    <row r="19" customFormat="false" ht="15" hidden="false" customHeight="false" outlineLevel="0" collapsed="false">
      <c r="A19" s="0" t="str">
        <f aca="false">IF('Deal Tracker'!C19="","",COUNTIF('Deal Tracker'!$C$2:C19,'Deal Tracker'!C19))</f>
        <v/>
      </c>
      <c r="B19" s="0" t="str">
        <f aca="false">IF(A19="","",'Deal Tracker'!C19&amp;"#"&amp;A19)</f>
        <v/>
      </c>
      <c r="C19" s="0" t="str">
        <f aca="false">IF('Deal Tracker'!B19="","",'Deal Tracker'!B19)</f>
        <v/>
      </c>
      <c r="D19" s="0" t="str">
        <f aca="false">IF('Deal Tracker'!B19="","",IF('Deal Tracker'!D19="","TBD","$"&amp;TEXT('Deal Tracker'!D19,"#,##0")&amp;"M"))</f>
        <v/>
      </c>
      <c r="E19" s="0" t="str">
        <f aca="false">IF('Deal Tracker'!B19="","",IF(AND(F19="",G19=""),"",F19&amp;IF(OR(F19="",G19=""),"","  ·  ")&amp;G19))</f>
        <v/>
      </c>
      <c r="F19" s="0" t="str">
        <f aca="false">IF('Deal Tracker'!F19="",IF('Deal Tracker'!G19="","",'Deal Tracker'!G19),'Deal Tracker'!F19&amp;IF('Deal Tracker'!G19="","",", "&amp;'Deal Tracker'!G19))</f>
        <v/>
      </c>
      <c r="G19" s="0" t="str">
        <f aca="false">IF('Deal Tracker'!H19="","","Target: "&amp;TEXT('Deal Tracker'!H19,"mmm yyyy"))</f>
        <v/>
      </c>
    </row>
    <row r="20" customFormat="false" ht="15" hidden="false" customHeight="false" outlineLevel="0" collapsed="false">
      <c r="A20" s="0" t="str">
        <f aca="false">IF('Deal Tracker'!C20="","",COUNTIF('Deal Tracker'!$C$2:C20,'Deal Tracker'!C20))</f>
        <v/>
      </c>
      <c r="B20" s="0" t="str">
        <f aca="false">IF(A20="","",'Deal Tracker'!C20&amp;"#"&amp;A20)</f>
        <v/>
      </c>
      <c r="C20" s="0" t="str">
        <f aca="false">IF('Deal Tracker'!B20="","",'Deal Tracker'!B20)</f>
        <v/>
      </c>
      <c r="D20" s="0" t="str">
        <f aca="false">IF('Deal Tracker'!B20="","",IF('Deal Tracker'!D20="","TBD","$"&amp;TEXT('Deal Tracker'!D20,"#,##0")&amp;"M"))</f>
        <v/>
      </c>
      <c r="E20" s="0" t="str">
        <f aca="false">IF('Deal Tracker'!B20="","",IF(AND(F20="",G20=""),"",F20&amp;IF(OR(F20="",G20=""),"","  ·  ")&amp;G20))</f>
        <v/>
      </c>
      <c r="F20" s="0" t="str">
        <f aca="false">IF('Deal Tracker'!F20="",IF('Deal Tracker'!G20="","",'Deal Tracker'!G20),'Deal Tracker'!F20&amp;IF('Deal Tracker'!G20="","",", "&amp;'Deal Tracker'!G20))</f>
        <v/>
      </c>
      <c r="G20" s="0" t="str">
        <f aca="false">IF('Deal Tracker'!H20="","","Target: "&amp;TEXT('Deal Tracker'!H20,"mmm yyyy"))</f>
        <v/>
      </c>
    </row>
    <row r="21" customFormat="false" ht="15" hidden="false" customHeight="false" outlineLevel="0" collapsed="false">
      <c r="A21" s="0" t="str">
        <f aca="false">IF('Deal Tracker'!C21="","",COUNTIF('Deal Tracker'!$C$2:C21,'Deal Tracker'!C21))</f>
        <v/>
      </c>
      <c r="B21" s="0" t="str">
        <f aca="false">IF(A21="","",'Deal Tracker'!C21&amp;"#"&amp;A21)</f>
        <v/>
      </c>
      <c r="C21" s="0" t="str">
        <f aca="false">IF('Deal Tracker'!B21="","",'Deal Tracker'!B21)</f>
        <v/>
      </c>
      <c r="D21" s="0" t="str">
        <f aca="false">IF('Deal Tracker'!B21="","",IF('Deal Tracker'!D21="","TBD","$"&amp;TEXT('Deal Tracker'!D21,"#,##0")&amp;"M"))</f>
        <v/>
      </c>
      <c r="E21" s="0" t="str">
        <f aca="false">IF('Deal Tracker'!B21="","",IF(AND(F21="",G21=""),"",F21&amp;IF(OR(F21="",G21=""),"","  ·  ")&amp;G21))</f>
        <v/>
      </c>
      <c r="F21" s="0" t="str">
        <f aca="false">IF('Deal Tracker'!F21="",IF('Deal Tracker'!G21="","",'Deal Tracker'!G21),'Deal Tracker'!F21&amp;IF('Deal Tracker'!G21="","",", "&amp;'Deal Tracker'!G21))</f>
        <v/>
      </c>
      <c r="G21" s="0" t="str">
        <f aca="false">IF('Deal Tracker'!H21="","","Target: "&amp;TEXT('Deal Tracker'!H21,"mmm yyyy"))</f>
        <v/>
      </c>
    </row>
    <row r="22" customFormat="false" ht="15" hidden="false" customHeight="false" outlineLevel="0" collapsed="false">
      <c r="A22" s="0" t="str">
        <f aca="false">IF('Deal Tracker'!C22="","",COUNTIF('Deal Tracker'!$C$2:C22,'Deal Tracker'!C22))</f>
        <v/>
      </c>
      <c r="B22" s="0" t="str">
        <f aca="false">IF(A22="","",'Deal Tracker'!C22&amp;"#"&amp;A22)</f>
        <v/>
      </c>
      <c r="C22" s="0" t="str">
        <f aca="false">IF('Deal Tracker'!B22="","",'Deal Tracker'!B22)</f>
        <v/>
      </c>
      <c r="D22" s="0" t="str">
        <f aca="false">IF('Deal Tracker'!B22="","",IF('Deal Tracker'!D22="","TBD","$"&amp;TEXT('Deal Tracker'!D22,"#,##0")&amp;"M"))</f>
        <v/>
      </c>
      <c r="E22" s="0" t="str">
        <f aca="false">IF('Deal Tracker'!B22="","",IF(AND(F22="",G22=""),"",F22&amp;IF(OR(F22="",G22=""),"","  ·  ")&amp;G22))</f>
        <v/>
      </c>
      <c r="F22" s="0" t="str">
        <f aca="false">IF('Deal Tracker'!F22="",IF('Deal Tracker'!G22="","",'Deal Tracker'!G22),'Deal Tracker'!F22&amp;IF('Deal Tracker'!G22="","",", "&amp;'Deal Tracker'!G22))</f>
        <v/>
      </c>
      <c r="G22" s="0" t="str">
        <f aca="false">IF('Deal Tracker'!H22="","","Target: "&amp;TEXT('Deal Tracker'!H22,"mmm yyyy"))</f>
        <v/>
      </c>
    </row>
    <row r="23" customFormat="false" ht="15" hidden="false" customHeight="false" outlineLevel="0" collapsed="false">
      <c r="A23" s="0" t="str">
        <f aca="false">IF('Deal Tracker'!C23="","",COUNTIF('Deal Tracker'!$C$2:C23,'Deal Tracker'!C23))</f>
        <v/>
      </c>
      <c r="B23" s="0" t="str">
        <f aca="false">IF(A23="","",'Deal Tracker'!C23&amp;"#"&amp;A23)</f>
        <v/>
      </c>
      <c r="C23" s="0" t="str">
        <f aca="false">IF('Deal Tracker'!B23="","",'Deal Tracker'!B23)</f>
        <v/>
      </c>
      <c r="D23" s="0" t="str">
        <f aca="false">IF('Deal Tracker'!B23="","",IF('Deal Tracker'!D23="","TBD","$"&amp;TEXT('Deal Tracker'!D23,"#,##0")&amp;"M"))</f>
        <v/>
      </c>
      <c r="E23" s="0" t="str">
        <f aca="false">IF('Deal Tracker'!B23="","",IF(AND(F23="",G23=""),"",F23&amp;IF(OR(F23="",G23=""),"","  ·  ")&amp;G23))</f>
        <v/>
      </c>
      <c r="F23" s="0" t="str">
        <f aca="false">IF('Deal Tracker'!F23="",IF('Deal Tracker'!G23="","",'Deal Tracker'!G23),'Deal Tracker'!F23&amp;IF('Deal Tracker'!G23="","",", "&amp;'Deal Tracker'!G23))</f>
        <v/>
      </c>
      <c r="G23" s="0" t="str">
        <f aca="false">IF('Deal Tracker'!H23="","","Target: "&amp;TEXT('Deal Tracker'!H23,"mmm yyyy"))</f>
        <v/>
      </c>
    </row>
    <row r="24" customFormat="false" ht="15" hidden="false" customHeight="false" outlineLevel="0" collapsed="false">
      <c r="A24" s="0" t="str">
        <f aca="false">IF('Deal Tracker'!C24="","",COUNTIF('Deal Tracker'!$C$2:C24,'Deal Tracker'!C24))</f>
        <v/>
      </c>
      <c r="B24" s="0" t="str">
        <f aca="false">IF(A24="","",'Deal Tracker'!C24&amp;"#"&amp;A24)</f>
        <v/>
      </c>
      <c r="C24" s="0" t="str">
        <f aca="false">IF('Deal Tracker'!B24="","",'Deal Tracker'!B24)</f>
        <v/>
      </c>
      <c r="D24" s="0" t="str">
        <f aca="false">IF('Deal Tracker'!B24="","",IF('Deal Tracker'!D24="","TBD","$"&amp;TEXT('Deal Tracker'!D24,"#,##0")&amp;"M"))</f>
        <v/>
      </c>
      <c r="E24" s="0" t="str">
        <f aca="false">IF('Deal Tracker'!B24="","",IF(AND(F24="",G24=""),"",F24&amp;IF(OR(F24="",G24=""),"","  ·  ")&amp;G24))</f>
        <v/>
      </c>
      <c r="F24" s="0" t="str">
        <f aca="false">IF('Deal Tracker'!F24="",IF('Deal Tracker'!G24="","",'Deal Tracker'!G24),'Deal Tracker'!F24&amp;IF('Deal Tracker'!G24="","",", "&amp;'Deal Tracker'!G24))</f>
        <v/>
      </c>
      <c r="G24" s="0" t="str">
        <f aca="false">IF('Deal Tracker'!H24="","","Target: "&amp;TEXT('Deal Tracker'!H24,"mmm yyyy"))</f>
        <v/>
      </c>
    </row>
    <row r="25" customFormat="false" ht="15" hidden="false" customHeight="false" outlineLevel="0" collapsed="false">
      <c r="A25" s="0" t="str">
        <f aca="false">IF('Deal Tracker'!C25="","",COUNTIF('Deal Tracker'!$C$2:C25,'Deal Tracker'!C25))</f>
        <v/>
      </c>
      <c r="B25" s="0" t="str">
        <f aca="false">IF(A25="","",'Deal Tracker'!C25&amp;"#"&amp;A25)</f>
        <v/>
      </c>
      <c r="C25" s="0" t="str">
        <f aca="false">IF('Deal Tracker'!B25="","",'Deal Tracker'!B25)</f>
        <v/>
      </c>
      <c r="D25" s="0" t="str">
        <f aca="false">IF('Deal Tracker'!B25="","",IF('Deal Tracker'!D25="","TBD","$"&amp;TEXT('Deal Tracker'!D25,"#,##0")&amp;"M"))</f>
        <v/>
      </c>
      <c r="E25" s="0" t="str">
        <f aca="false">IF('Deal Tracker'!B25="","",IF(AND(F25="",G25=""),"",F25&amp;IF(OR(F25="",G25=""),"","  ·  ")&amp;G25))</f>
        <v/>
      </c>
      <c r="F25" s="0" t="str">
        <f aca="false">IF('Deal Tracker'!F25="",IF('Deal Tracker'!G25="","",'Deal Tracker'!G25),'Deal Tracker'!F25&amp;IF('Deal Tracker'!G25="","",", "&amp;'Deal Tracker'!G25))</f>
        <v/>
      </c>
      <c r="G25" s="0" t="str">
        <f aca="false">IF('Deal Tracker'!H25="","","Target: "&amp;TEXT('Deal Tracker'!H25,"mmm yyyy"))</f>
        <v/>
      </c>
    </row>
    <row r="26" customFormat="false" ht="15" hidden="false" customHeight="false" outlineLevel="0" collapsed="false">
      <c r="A26" s="0" t="str">
        <f aca="false">IF('Deal Tracker'!C26="","",COUNTIF('Deal Tracker'!$C$2:C26,'Deal Tracker'!C26))</f>
        <v/>
      </c>
      <c r="B26" s="0" t="str">
        <f aca="false">IF(A26="","",'Deal Tracker'!C26&amp;"#"&amp;A26)</f>
        <v/>
      </c>
      <c r="C26" s="0" t="str">
        <f aca="false">IF('Deal Tracker'!B26="","",'Deal Tracker'!B26)</f>
        <v/>
      </c>
      <c r="D26" s="0" t="str">
        <f aca="false">IF('Deal Tracker'!B26="","",IF('Deal Tracker'!D26="","TBD","$"&amp;TEXT('Deal Tracker'!D26,"#,##0")&amp;"M"))</f>
        <v/>
      </c>
      <c r="E26" s="0" t="str">
        <f aca="false">IF('Deal Tracker'!B26="","",IF(AND(F26="",G26=""),"",F26&amp;IF(OR(F26="",G26=""),"","  ·  ")&amp;G26))</f>
        <v/>
      </c>
      <c r="F26" s="0" t="str">
        <f aca="false">IF('Deal Tracker'!F26="",IF('Deal Tracker'!G26="","",'Deal Tracker'!G26),'Deal Tracker'!F26&amp;IF('Deal Tracker'!G26="","",", "&amp;'Deal Tracker'!G26))</f>
        <v/>
      </c>
      <c r="G26" s="0" t="str">
        <f aca="false">IF('Deal Tracker'!H26="","","Target: "&amp;TEXT('Deal Tracker'!H26,"mmm yyyy"))</f>
        <v/>
      </c>
    </row>
    <row r="27" customFormat="false" ht="15" hidden="false" customHeight="false" outlineLevel="0" collapsed="false">
      <c r="A27" s="0" t="str">
        <f aca="false">IF('Deal Tracker'!C27="","",COUNTIF('Deal Tracker'!$C$2:C27,'Deal Tracker'!C27))</f>
        <v/>
      </c>
      <c r="B27" s="0" t="str">
        <f aca="false">IF(A27="","",'Deal Tracker'!C27&amp;"#"&amp;A27)</f>
        <v/>
      </c>
      <c r="C27" s="0" t="str">
        <f aca="false">IF('Deal Tracker'!B27="","",'Deal Tracker'!B27)</f>
        <v/>
      </c>
      <c r="D27" s="0" t="str">
        <f aca="false">IF('Deal Tracker'!B27="","",IF('Deal Tracker'!D27="","TBD","$"&amp;TEXT('Deal Tracker'!D27,"#,##0")&amp;"M"))</f>
        <v/>
      </c>
      <c r="E27" s="0" t="str">
        <f aca="false">IF('Deal Tracker'!B27="","",IF(AND(F27="",G27=""),"",F27&amp;IF(OR(F27="",G27=""),"","  ·  ")&amp;G27))</f>
        <v/>
      </c>
      <c r="F27" s="0" t="str">
        <f aca="false">IF('Deal Tracker'!F27="",IF('Deal Tracker'!G27="","",'Deal Tracker'!G27),'Deal Tracker'!F27&amp;IF('Deal Tracker'!G27="","",", "&amp;'Deal Tracker'!G27))</f>
        <v/>
      </c>
      <c r="G27" s="0" t="str">
        <f aca="false">IF('Deal Tracker'!H27="","","Target: "&amp;TEXT('Deal Tracker'!H27,"mmm yyyy"))</f>
        <v/>
      </c>
    </row>
    <row r="28" customFormat="false" ht="15" hidden="false" customHeight="false" outlineLevel="0" collapsed="false">
      <c r="A28" s="0" t="str">
        <f aca="false">IF('Deal Tracker'!C28="","",COUNTIF('Deal Tracker'!$C$2:C28,'Deal Tracker'!C28))</f>
        <v/>
      </c>
      <c r="B28" s="0" t="str">
        <f aca="false">IF(A28="","",'Deal Tracker'!C28&amp;"#"&amp;A28)</f>
        <v/>
      </c>
      <c r="C28" s="0" t="str">
        <f aca="false">IF('Deal Tracker'!B28="","",'Deal Tracker'!B28)</f>
        <v/>
      </c>
      <c r="D28" s="0" t="str">
        <f aca="false">IF('Deal Tracker'!B28="","",IF('Deal Tracker'!D28="","TBD","$"&amp;TEXT('Deal Tracker'!D28,"#,##0")&amp;"M"))</f>
        <v/>
      </c>
      <c r="E28" s="0" t="str">
        <f aca="false">IF('Deal Tracker'!B28="","",IF(AND(F28="",G28=""),"",F28&amp;IF(OR(F28="",G28=""),"","  ·  ")&amp;G28))</f>
        <v/>
      </c>
      <c r="F28" s="0" t="str">
        <f aca="false">IF('Deal Tracker'!F28="",IF('Deal Tracker'!G28="","",'Deal Tracker'!G28),'Deal Tracker'!F28&amp;IF('Deal Tracker'!G28="","",", "&amp;'Deal Tracker'!G28))</f>
        <v/>
      </c>
      <c r="G28" s="0" t="str">
        <f aca="false">IF('Deal Tracker'!H28="","","Target: "&amp;TEXT('Deal Tracker'!H28,"mmm yyyy"))</f>
        <v/>
      </c>
    </row>
    <row r="29" customFormat="false" ht="15" hidden="false" customHeight="false" outlineLevel="0" collapsed="false">
      <c r="A29" s="0" t="str">
        <f aca="false">IF('Deal Tracker'!C29="","",COUNTIF('Deal Tracker'!$C$2:C29,'Deal Tracker'!C29))</f>
        <v/>
      </c>
      <c r="B29" s="0" t="str">
        <f aca="false">IF(A29="","",'Deal Tracker'!C29&amp;"#"&amp;A29)</f>
        <v/>
      </c>
      <c r="C29" s="0" t="str">
        <f aca="false">IF('Deal Tracker'!B29="","",'Deal Tracker'!B29)</f>
        <v/>
      </c>
      <c r="D29" s="0" t="str">
        <f aca="false">IF('Deal Tracker'!B29="","",IF('Deal Tracker'!D29="","TBD","$"&amp;TEXT('Deal Tracker'!D29,"#,##0")&amp;"M"))</f>
        <v/>
      </c>
      <c r="E29" s="0" t="str">
        <f aca="false">IF('Deal Tracker'!B29="","",IF(AND(F29="",G29=""),"",F29&amp;IF(OR(F29="",G29=""),"","  ·  ")&amp;G29))</f>
        <v/>
      </c>
      <c r="F29" s="0" t="str">
        <f aca="false">IF('Deal Tracker'!F29="",IF('Deal Tracker'!G29="","",'Deal Tracker'!G29),'Deal Tracker'!F29&amp;IF('Deal Tracker'!G29="","",", "&amp;'Deal Tracker'!G29))</f>
        <v/>
      </c>
      <c r="G29" s="0" t="str">
        <f aca="false">IF('Deal Tracker'!H29="","","Target: "&amp;TEXT('Deal Tracker'!H29,"mmm yyyy"))</f>
        <v/>
      </c>
    </row>
    <row r="30" customFormat="false" ht="15" hidden="false" customHeight="false" outlineLevel="0" collapsed="false">
      <c r="A30" s="0" t="str">
        <f aca="false">IF('Deal Tracker'!C30="","",COUNTIF('Deal Tracker'!$C$2:C30,'Deal Tracker'!C30))</f>
        <v/>
      </c>
      <c r="B30" s="0" t="str">
        <f aca="false">IF(A30="","",'Deal Tracker'!C30&amp;"#"&amp;A30)</f>
        <v/>
      </c>
      <c r="C30" s="0" t="str">
        <f aca="false">IF('Deal Tracker'!B30="","",'Deal Tracker'!B30)</f>
        <v/>
      </c>
      <c r="D30" s="0" t="str">
        <f aca="false">IF('Deal Tracker'!B30="","",IF('Deal Tracker'!D30="","TBD","$"&amp;TEXT('Deal Tracker'!D30,"#,##0")&amp;"M"))</f>
        <v/>
      </c>
      <c r="E30" s="0" t="str">
        <f aca="false">IF('Deal Tracker'!B30="","",IF(AND(F30="",G30=""),"",F30&amp;IF(OR(F30="",G30=""),"","  ·  ")&amp;G30))</f>
        <v/>
      </c>
      <c r="F30" s="0" t="str">
        <f aca="false">IF('Deal Tracker'!F30="",IF('Deal Tracker'!G30="","",'Deal Tracker'!G30),'Deal Tracker'!F30&amp;IF('Deal Tracker'!G30="","",", "&amp;'Deal Tracker'!G30))</f>
        <v/>
      </c>
      <c r="G30" s="0" t="str">
        <f aca="false">IF('Deal Tracker'!H30="","","Target: "&amp;TEXT('Deal Tracker'!H30,"mmm yyyy"))</f>
        <v/>
      </c>
    </row>
    <row r="31" customFormat="false" ht="15" hidden="false" customHeight="false" outlineLevel="0" collapsed="false">
      <c r="A31" s="0" t="str">
        <f aca="false">IF('Deal Tracker'!C31="","",COUNTIF('Deal Tracker'!$C$2:C31,'Deal Tracker'!C31))</f>
        <v/>
      </c>
      <c r="B31" s="0" t="str">
        <f aca="false">IF(A31="","",'Deal Tracker'!C31&amp;"#"&amp;A31)</f>
        <v/>
      </c>
      <c r="C31" s="0" t="str">
        <f aca="false">IF('Deal Tracker'!B31="","",'Deal Tracker'!B31)</f>
        <v/>
      </c>
      <c r="D31" s="0" t="str">
        <f aca="false">IF('Deal Tracker'!B31="","",IF('Deal Tracker'!D31="","TBD","$"&amp;TEXT('Deal Tracker'!D31,"#,##0")&amp;"M"))</f>
        <v/>
      </c>
      <c r="E31" s="0" t="str">
        <f aca="false">IF('Deal Tracker'!B31="","",IF(AND(F31="",G31=""),"",F31&amp;IF(OR(F31="",G31=""),"","  ·  ")&amp;G31))</f>
        <v/>
      </c>
      <c r="F31" s="0" t="str">
        <f aca="false">IF('Deal Tracker'!F31="",IF('Deal Tracker'!G31="","",'Deal Tracker'!G31),'Deal Tracker'!F31&amp;IF('Deal Tracker'!G31="","",", "&amp;'Deal Tracker'!G31))</f>
        <v/>
      </c>
      <c r="G31" s="0" t="str">
        <f aca="false">IF('Deal Tracker'!H31="","","Target: "&amp;TEXT('Deal Tracker'!H31,"mmm yyyy"))</f>
        <v/>
      </c>
    </row>
    <row r="32" customFormat="false" ht="15" hidden="false" customHeight="false" outlineLevel="0" collapsed="false">
      <c r="A32" s="0" t="str">
        <f aca="false">IF('Deal Tracker'!C32="","",COUNTIF('Deal Tracker'!$C$2:C32,'Deal Tracker'!C32))</f>
        <v/>
      </c>
      <c r="B32" s="0" t="str">
        <f aca="false">IF(A32="","",'Deal Tracker'!C32&amp;"#"&amp;A32)</f>
        <v/>
      </c>
      <c r="C32" s="0" t="str">
        <f aca="false">IF('Deal Tracker'!B32="","",'Deal Tracker'!B32)</f>
        <v/>
      </c>
      <c r="D32" s="0" t="str">
        <f aca="false">IF('Deal Tracker'!B32="","",IF('Deal Tracker'!D32="","TBD","$"&amp;TEXT('Deal Tracker'!D32,"#,##0")&amp;"M"))</f>
        <v/>
      </c>
      <c r="E32" s="0" t="str">
        <f aca="false">IF('Deal Tracker'!B32="","",IF(AND(F32="",G32=""),"",F32&amp;IF(OR(F32="",G32=""),"","  ·  ")&amp;G32))</f>
        <v/>
      </c>
      <c r="F32" s="0" t="str">
        <f aca="false">IF('Deal Tracker'!F32="",IF('Deal Tracker'!G32="","",'Deal Tracker'!G32),'Deal Tracker'!F32&amp;IF('Deal Tracker'!G32="","",", "&amp;'Deal Tracker'!G32))</f>
        <v/>
      </c>
      <c r="G32" s="0" t="str">
        <f aca="false">IF('Deal Tracker'!H32="","","Target: "&amp;TEXT('Deal Tracker'!H32,"mmm yyyy"))</f>
        <v/>
      </c>
    </row>
    <row r="33" customFormat="false" ht="15" hidden="false" customHeight="false" outlineLevel="0" collapsed="false">
      <c r="A33" s="0" t="str">
        <f aca="false">IF('Deal Tracker'!C33="","",COUNTIF('Deal Tracker'!$C$2:C33,'Deal Tracker'!C33))</f>
        <v/>
      </c>
      <c r="B33" s="0" t="str">
        <f aca="false">IF(A33="","",'Deal Tracker'!C33&amp;"#"&amp;A33)</f>
        <v/>
      </c>
      <c r="C33" s="0" t="str">
        <f aca="false">IF('Deal Tracker'!B33="","",'Deal Tracker'!B33)</f>
        <v/>
      </c>
      <c r="D33" s="0" t="str">
        <f aca="false">IF('Deal Tracker'!B33="","",IF('Deal Tracker'!D33="","TBD","$"&amp;TEXT('Deal Tracker'!D33,"#,##0")&amp;"M"))</f>
        <v/>
      </c>
      <c r="E33" s="0" t="str">
        <f aca="false">IF('Deal Tracker'!B33="","",IF(AND(F33="",G33=""),"",F33&amp;IF(OR(F33="",G33=""),"","  ·  ")&amp;G33))</f>
        <v/>
      </c>
      <c r="F33" s="0" t="str">
        <f aca="false">IF('Deal Tracker'!F33="",IF('Deal Tracker'!G33="","",'Deal Tracker'!G33),'Deal Tracker'!F33&amp;IF('Deal Tracker'!G33="","",", "&amp;'Deal Tracker'!G33))</f>
        <v/>
      </c>
      <c r="G33" s="0" t="str">
        <f aca="false">IF('Deal Tracker'!H33="","","Target: "&amp;TEXT('Deal Tracker'!H33,"mmm yyyy"))</f>
        <v/>
      </c>
    </row>
    <row r="34" customFormat="false" ht="15" hidden="false" customHeight="false" outlineLevel="0" collapsed="false">
      <c r="A34" s="0" t="str">
        <f aca="false">IF('Deal Tracker'!C34="","",COUNTIF('Deal Tracker'!$C$2:C34,'Deal Tracker'!C34))</f>
        <v/>
      </c>
      <c r="B34" s="0" t="str">
        <f aca="false">IF(A34="","",'Deal Tracker'!C34&amp;"#"&amp;A34)</f>
        <v/>
      </c>
      <c r="C34" s="0" t="str">
        <f aca="false">IF('Deal Tracker'!B34="","",'Deal Tracker'!B34)</f>
        <v/>
      </c>
      <c r="D34" s="0" t="str">
        <f aca="false">IF('Deal Tracker'!B34="","",IF('Deal Tracker'!D34="","TBD","$"&amp;TEXT('Deal Tracker'!D34,"#,##0")&amp;"M"))</f>
        <v/>
      </c>
      <c r="E34" s="0" t="str">
        <f aca="false">IF('Deal Tracker'!B34="","",IF(AND(F34="",G34=""),"",F34&amp;IF(OR(F34="",G34=""),"","  ·  ")&amp;G34))</f>
        <v/>
      </c>
      <c r="F34" s="0" t="str">
        <f aca="false">IF('Deal Tracker'!F34="",IF('Deal Tracker'!G34="","",'Deal Tracker'!G34),'Deal Tracker'!F34&amp;IF('Deal Tracker'!G34="","",", "&amp;'Deal Tracker'!G34))</f>
        <v/>
      </c>
      <c r="G34" s="0" t="str">
        <f aca="false">IF('Deal Tracker'!H34="","","Target: "&amp;TEXT('Deal Tracker'!H34,"mmm yyyy"))</f>
        <v/>
      </c>
    </row>
    <row r="35" customFormat="false" ht="15" hidden="false" customHeight="false" outlineLevel="0" collapsed="false">
      <c r="A35" s="0" t="str">
        <f aca="false">IF('Deal Tracker'!C35="","",COUNTIF('Deal Tracker'!$C$2:C35,'Deal Tracker'!C35))</f>
        <v/>
      </c>
      <c r="B35" s="0" t="str">
        <f aca="false">IF(A35="","",'Deal Tracker'!C35&amp;"#"&amp;A35)</f>
        <v/>
      </c>
      <c r="C35" s="0" t="str">
        <f aca="false">IF('Deal Tracker'!B35="","",'Deal Tracker'!B35)</f>
        <v/>
      </c>
      <c r="D35" s="0" t="str">
        <f aca="false">IF('Deal Tracker'!B35="","",IF('Deal Tracker'!D35="","TBD","$"&amp;TEXT('Deal Tracker'!D35,"#,##0")&amp;"M"))</f>
        <v/>
      </c>
      <c r="E35" s="0" t="str">
        <f aca="false">IF('Deal Tracker'!B35="","",IF(AND(F35="",G35=""),"",F35&amp;IF(OR(F35="",G35=""),"","  ·  ")&amp;G35))</f>
        <v/>
      </c>
      <c r="F35" s="0" t="str">
        <f aca="false">IF('Deal Tracker'!F35="",IF('Deal Tracker'!G35="","",'Deal Tracker'!G35),'Deal Tracker'!F35&amp;IF('Deal Tracker'!G35="","",", "&amp;'Deal Tracker'!G35))</f>
        <v/>
      </c>
      <c r="G35" s="0" t="str">
        <f aca="false">IF('Deal Tracker'!H35="","","Target: "&amp;TEXT('Deal Tracker'!H35,"mmm yyyy"))</f>
        <v/>
      </c>
    </row>
    <row r="36" customFormat="false" ht="15" hidden="false" customHeight="false" outlineLevel="0" collapsed="false">
      <c r="A36" s="0" t="str">
        <f aca="false">IF('Deal Tracker'!C36="","",COUNTIF('Deal Tracker'!$C$2:C36,'Deal Tracker'!C36))</f>
        <v/>
      </c>
      <c r="B36" s="0" t="str">
        <f aca="false">IF(A36="","",'Deal Tracker'!C36&amp;"#"&amp;A36)</f>
        <v/>
      </c>
      <c r="C36" s="0" t="str">
        <f aca="false">IF('Deal Tracker'!B36="","",'Deal Tracker'!B36)</f>
        <v/>
      </c>
      <c r="D36" s="0" t="str">
        <f aca="false">IF('Deal Tracker'!B36="","",IF('Deal Tracker'!D36="","TBD","$"&amp;TEXT('Deal Tracker'!D36,"#,##0")&amp;"M"))</f>
        <v/>
      </c>
      <c r="E36" s="0" t="str">
        <f aca="false">IF('Deal Tracker'!B36="","",IF(AND(F36="",G36=""),"",F36&amp;IF(OR(F36="",G36=""),"","  ·  ")&amp;G36))</f>
        <v/>
      </c>
      <c r="F36" s="0" t="str">
        <f aca="false">IF('Deal Tracker'!F36="",IF('Deal Tracker'!G36="","",'Deal Tracker'!G36),'Deal Tracker'!F36&amp;IF('Deal Tracker'!G36="","",", "&amp;'Deal Tracker'!G36))</f>
        <v/>
      </c>
      <c r="G36" s="0" t="str">
        <f aca="false">IF('Deal Tracker'!H36="","","Target: "&amp;TEXT('Deal Tracker'!H36,"mmm yyyy"))</f>
        <v/>
      </c>
    </row>
    <row r="37" customFormat="false" ht="15" hidden="false" customHeight="false" outlineLevel="0" collapsed="false">
      <c r="A37" s="0" t="str">
        <f aca="false">IF('Deal Tracker'!C37="","",COUNTIF('Deal Tracker'!$C$2:C37,'Deal Tracker'!C37))</f>
        <v/>
      </c>
      <c r="B37" s="0" t="str">
        <f aca="false">IF(A37="","",'Deal Tracker'!C37&amp;"#"&amp;A37)</f>
        <v/>
      </c>
      <c r="C37" s="0" t="str">
        <f aca="false">IF('Deal Tracker'!B37="","",'Deal Tracker'!B37)</f>
        <v/>
      </c>
      <c r="D37" s="0" t="str">
        <f aca="false">IF('Deal Tracker'!B37="","",IF('Deal Tracker'!D37="","TBD","$"&amp;TEXT('Deal Tracker'!D37,"#,##0")&amp;"M"))</f>
        <v/>
      </c>
      <c r="E37" s="0" t="str">
        <f aca="false">IF('Deal Tracker'!B37="","",IF(AND(F37="",G37=""),"",F37&amp;IF(OR(F37="",G37=""),"","  ·  ")&amp;G37))</f>
        <v/>
      </c>
      <c r="F37" s="0" t="str">
        <f aca="false">IF('Deal Tracker'!F37="",IF('Deal Tracker'!G37="","",'Deal Tracker'!G37),'Deal Tracker'!F37&amp;IF('Deal Tracker'!G37="","",", "&amp;'Deal Tracker'!G37))</f>
        <v/>
      </c>
      <c r="G37" s="0" t="str">
        <f aca="false">IF('Deal Tracker'!H37="","","Target: "&amp;TEXT('Deal Tracker'!H37,"mmm yyyy"))</f>
        <v/>
      </c>
    </row>
    <row r="38" customFormat="false" ht="15" hidden="false" customHeight="false" outlineLevel="0" collapsed="false">
      <c r="A38" s="0" t="str">
        <f aca="false">IF('Deal Tracker'!C38="","",COUNTIF('Deal Tracker'!$C$2:C38,'Deal Tracker'!C38))</f>
        <v/>
      </c>
      <c r="B38" s="0" t="str">
        <f aca="false">IF(A38="","",'Deal Tracker'!C38&amp;"#"&amp;A38)</f>
        <v/>
      </c>
      <c r="C38" s="0" t="str">
        <f aca="false">IF('Deal Tracker'!B38="","",'Deal Tracker'!B38)</f>
        <v/>
      </c>
      <c r="D38" s="0" t="str">
        <f aca="false">IF('Deal Tracker'!B38="","",IF('Deal Tracker'!D38="","TBD","$"&amp;TEXT('Deal Tracker'!D38,"#,##0")&amp;"M"))</f>
        <v/>
      </c>
      <c r="E38" s="0" t="str">
        <f aca="false">IF('Deal Tracker'!B38="","",IF(AND(F38="",G38=""),"",F38&amp;IF(OR(F38="",G38=""),"","  ·  ")&amp;G38))</f>
        <v/>
      </c>
      <c r="F38" s="0" t="str">
        <f aca="false">IF('Deal Tracker'!F38="",IF('Deal Tracker'!G38="","",'Deal Tracker'!G38),'Deal Tracker'!F38&amp;IF('Deal Tracker'!G38="","",", "&amp;'Deal Tracker'!G38))</f>
        <v/>
      </c>
      <c r="G38" s="0" t="str">
        <f aca="false">IF('Deal Tracker'!H38="","","Target: "&amp;TEXT('Deal Tracker'!H38,"mmm yyyy"))</f>
        <v/>
      </c>
    </row>
    <row r="39" customFormat="false" ht="15" hidden="false" customHeight="false" outlineLevel="0" collapsed="false">
      <c r="A39" s="0" t="str">
        <f aca="false">IF('Deal Tracker'!C39="","",COUNTIF('Deal Tracker'!$C$2:C39,'Deal Tracker'!C39))</f>
        <v/>
      </c>
      <c r="B39" s="0" t="str">
        <f aca="false">IF(A39="","",'Deal Tracker'!C39&amp;"#"&amp;A39)</f>
        <v/>
      </c>
      <c r="C39" s="0" t="str">
        <f aca="false">IF('Deal Tracker'!B39="","",'Deal Tracker'!B39)</f>
        <v/>
      </c>
      <c r="D39" s="0" t="str">
        <f aca="false">IF('Deal Tracker'!B39="","",IF('Deal Tracker'!D39="","TBD","$"&amp;TEXT('Deal Tracker'!D39,"#,##0")&amp;"M"))</f>
        <v/>
      </c>
      <c r="E39" s="0" t="str">
        <f aca="false">IF('Deal Tracker'!B39="","",IF(AND(F39="",G39=""),"",F39&amp;IF(OR(F39="",G39=""),"","  ·  ")&amp;G39))</f>
        <v/>
      </c>
      <c r="F39" s="0" t="str">
        <f aca="false">IF('Deal Tracker'!F39="",IF('Deal Tracker'!G39="","",'Deal Tracker'!G39),'Deal Tracker'!F39&amp;IF('Deal Tracker'!G39="","",", "&amp;'Deal Tracker'!G39))</f>
        <v/>
      </c>
      <c r="G39" s="0" t="str">
        <f aca="false">IF('Deal Tracker'!H39="","","Target: "&amp;TEXT('Deal Tracker'!H39,"mmm yyyy"))</f>
        <v/>
      </c>
    </row>
    <row r="40" customFormat="false" ht="15" hidden="false" customHeight="false" outlineLevel="0" collapsed="false">
      <c r="A40" s="0" t="str">
        <f aca="false">IF('Deal Tracker'!C40="","",COUNTIF('Deal Tracker'!$C$2:C40,'Deal Tracker'!C40))</f>
        <v/>
      </c>
      <c r="B40" s="0" t="str">
        <f aca="false">IF(A40="","",'Deal Tracker'!C40&amp;"#"&amp;A40)</f>
        <v/>
      </c>
      <c r="C40" s="0" t="str">
        <f aca="false">IF('Deal Tracker'!B40="","",'Deal Tracker'!B40)</f>
        <v/>
      </c>
      <c r="D40" s="0" t="str">
        <f aca="false">IF('Deal Tracker'!B40="","",IF('Deal Tracker'!D40="","TBD","$"&amp;TEXT('Deal Tracker'!D40,"#,##0")&amp;"M"))</f>
        <v/>
      </c>
      <c r="E40" s="0" t="str">
        <f aca="false">IF('Deal Tracker'!B40="","",IF(AND(F40="",G40=""),"",F40&amp;IF(OR(F40="",G40=""),"","  ·  ")&amp;G40))</f>
        <v/>
      </c>
      <c r="F40" s="0" t="str">
        <f aca="false">IF('Deal Tracker'!F40="",IF('Deal Tracker'!G40="","",'Deal Tracker'!G40),'Deal Tracker'!F40&amp;IF('Deal Tracker'!G40="","",", "&amp;'Deal Tracker'!G40))</f>
        <v/>
      </c>
      <c r="G40" s="0" t="str">
        <f aca="false">IF('Deal Tracker'!H40="","","Target: "&amp;TEXT('Deal Tracker'!H40,"mmm yyyy"))</f>
        <v/>
      </c>
    </row>
    <row r="41" customFormat="false" ht="15" hidden="false" customHeight="false" outlineLevel="0" collapsed="false">
      <c r="A41" s="0" t="str">
        <f aca="false">IF('Deal Tracker'!C41="","",COUNTIF('Deal Tracker'!$C$2:C41,'Deal Tracker'!C41))</f>
        <v/>
      </c>
      <c r="B41" s="0" t="str">
        <f aca="false">IF(A41="","",'Deal Tracker'!C41&amp;"#"&amp;A41)</f>
        <v/>
      </c>
      <c r="C41" s="0" t="str">
        <f aca="false">IF('Deal Tracker'!B41="","",'Deal Tracker'!B41)</f>
        <v/>
      </c>
      <c r="D41" s="0" t="str">
        <f aca="false">IF('Deal Tracker'!B41="","",IF('Deal Tracker'!D41="","TBD","$"&amp;TEXT('Deal Tracker'!D41,"#,##0")&amp;"M"))</f>
        <v/>
      </c>
      <c r="E41" s="0" t="str">
        <f aca="false">IF('Deal Tracker'!B41="","",IF(AND(F41="",G41=""),"",F41&amp;IF(OR(F41="",G41=""),"","  ·  ")&amp;G41))</f>
        <v/>
      </c>
      <c r="F41" s="0" t="str">
        <f aca="false">IF('Deal Tracker'!F41="",IF('Deal Tracker'!G41="","",'Deal Tracker'!G41),'Deal Tracker'!F41&amp;IF('Deal Tracker'!G41="","",", "&amp;'Deal Tracker'!G41))</f>
        <v/>
      </c>
      <c r="G41" s="0" t="str">
        <f aca="false">IF('Deal Tracker'!H41="","","Target: "&amp;TEXT('Deal Tracker'!H41,"mmm yyyy"))</f>
        <v/>
      </c>
    </row>
    <row r="42" customFormat="false" ht="15" hidden="false" customHeight="false" outlineLevel="0" collapsed="false">
      <c r="A42" s="0" t="str">
        <f aca="false">IF('Deal Tracker'!C42="","",COUNTIF('Deal Tracker'!$C$2:C42,'Deal Tracker'!C42))</f>
        <v/>
      </c>
      <c r="B42" s="0" t="str">
        <f aca="false">IF(A42="","",'Deal Tracker'!C42&amp;"#"&amp;A42)</f>
        <v/>
      </c>
      <c r="C42" s="0" t="str">
        <f aca="false">IF('Deal Tracker'!B42="","",'Deal Tracker'!B42)</f>
        <v/>
      </c>
      <c r="D42" s="0" t="str">
        <f aca="false">IF('Deal Tracker'!B42="","",IF('Deal Tracker'!D42="","TBD","$"&amp;TEXT('Deal Tracker'!D42,"#,##0")&amp;"M"))</f>
        <v/>
      </c>
      <c r="E42" s="0" t="str">
        <f aca="false">IF('Deal Tracker'!B42="","",IF(AND(F42="",G42=""),"",F42&amp;IF(OR(F42="",G42=""),"","  ·  ")&amp;G42))</f>
        <v/>
      </c>
      <c r="F42" s="0" t="str">
        <f aca="false">IF('Deal Tracker'!F42="",IF('Deal Tracker'!G42="","",'Deal Tracker'!G42),'Deal Tracker'!F42&amp;IF('Deal Tracker'!G42="","",", "&amp;'Deal Tracker'!G42))</f>
        <v/>
      </c>
      <c r="G42" s="0" t="str">
        <f aca="false">IF('Deal Tracker'!H42="","","Target: "&amp;TEXT('Deal Tracker'!H42,"mmm yyyy"))</f>
        <v/>
      </c>
    </row>
    <row r="43" customFormat="false" ht="15" hidden="false" customHeight="false" outlineLevel="0" collapsed="false">
      <c r="A43" s="0" t="str">
        <f aca="false">IF('Deal Tracker'!C43="","",COUNTIF('Deal Tracker'!$C$2:C43,'Deal Tracker'!C43))</f>
        <v/>
      </c>
      <c r="B43" s="0" t="str">
        <f aca="false">IF(A43="","",'Deal Tracker'!C43&amp;"#"&amp;A43)</f>
        <v/>
      </c>
      <c r="C43" s="0" t="str">
        <f aca="false">IF('Deal Tracker'!B43="","",'Deal Tracker'!B43)</f>
        <v/>
      </c>
      <c r="D43" s="0" t="str">
        <f aca="false">IF('Deal Tracker'!B43="","",IF('Deal Tracker'!D43="","TBD","$"&amp;TEXT('Deal Tracker'!D43,"#,##0")&amp;"M"))</f>
        <v/>
      </c>
      <c r="E43" s="0" t="str">
        <f aca="false">IF('Deal Tracker'!B43="","",IF(AND(F43="",G43=""),"",F43&amp;IF(OR(F43="",G43=""),"","  ·  ")&amp;G43))</f>
        <v/>
      </c>
      <c r="F43" s="0" t="str">
        <f aca="false">IF('Deal Tracker'!F43="",IF('Deal Tracker'!G43="","",'Deal Tracker'!G43),'Deal Tracker'!F43&amp;IF('Deal Tracker'!G43="","",", "&amp;'Deal Tracker'!G43))</f>
        <v/>
      </c>
      <c r="G43" s="0" t="str">
        <f aca="false">IF('Deal Tracker'!H43="","","Target: "&amp;TEXT('Deal Tracker'!H43,"mmm yyyy"))</f>
        <v/>
      </c>
    </row>
    <row r="44" customFormat="false" ht="15" hidden="false" customHeight="false" outlineLevel="0" collapsed="false">
      <c r="A44" s="0" t="str">
        <f aca="false">IF('Deal Tracker'!C44="","",COUNTIF('Deal Tracker'!$C$2:C44,'Deal Tracker'!C44))</f>
        <v/>
      </c>
      <c r="B44" s="0" t="str">
        <f aca="false">IF(A44="","",'Deal Tracker'!C44&amp;"#"&amp;A44)</f>
        <v/>
      </c>
      <c r="C44" s="0" t="str">
        <f aca="false">IF('Deal Tracker'!B44="","",'Deal Tracker'!B44)</f>
        <v/>
      </c>
      <c r="D44" s="0" t="str">
        <f aca="false">IF('Deal Tracker'!B44="","",IF('Deal Tracker'!D44="","TBD","$"&amp;TEXT('Deal Tracker'!D44,"#,##0")&amp;"M"))</f>
        <v/>
      </c>
      <c r="E44" s="0" t="str">
        <f aca="false">IF('Deal Tracker'!B44="","",IF(AND(F44="",G44=""),"",F44&amp;IF(OR(F44="",G44=""),"","  ·  ")&amp;G44))</f>
        <v/>
      </c>
      <c r="F44" s="0" t="str">
        <f aca="false">IF('Deal Tracker'!F44="",IF('Deal Tracker'!G44="","",'Deal Tracker'!G44),'Deal Tracker'!F44&amp;IF('Deal Tracker'!G44="","",", "&amp;'Deal Tracker'!G44))</f>
        <v/>
      </c>
      <c r="G44" s="0" t="str">
        <f aca="false">IF('Deal Tracker'!H44="","","Target: "&amp;TEXT('Deal Tracker'!H44,"mmm yyyy"))</f>
        <v/>
      </c>
    </row>
    <row r="45" customFormat="false" ht="15" hidden="false" customHeight="false" outlineLevel="0" collapsed="false">
      <c r="A45" s="0" t="str">
        <f aca="false">IF('Deal Tracker'!C45="","",COUNTIF('Deal Tracker'!$C$2:C45,'Deal Tracker'!C45))</f>
        <v/>
      </c>
      <c r="B45" s="0" t="str">
        <f aca="false">IF(A45="","",'Deal Tracker'!C45&amp;"#"&amp;A45)</f>
        <v/>
      </c>
      <c r="C45" s="0" t="str">
        <f aca="false">IF('Deal Tracker'!B45="","",'Deal Tracker'!B45)</f>
        <v/>
      </c>
      <c r="D45" s="0" t="str">
        <f aca="false">IF('Deal Tracker'!B45="","",IF('Deal Tracker'!D45="","TBD","$"&amp;TEXT('Deal Tracker'!D45,"#,##0")&amp;"M"))</f>
        <v/>
      </c>
      <c r="E45" s="0" t="str">
        <f aca="false">IF('Deal Tracker'!B45="","",IF(AND(F45="",G45=""),"",F45&amp;IF(OR(F45="",G45=""),"","  ·  ")&amp;G45))</f>
        <v/>
      </c>
      <c r="F45" s="0" t="str">
        <f aca="false">IF('Deal Tracker'!F45="",IF('Deal Tracker'!G45="","",'Deal Tracker'!G45),'Deal Tracker'!F45&amp;IF('Deal Tracker'!G45="","",", "&amp;'Deal Tracker'!G45))</f>
        <v/>
      </c>
      <c r="G45" s="0" t="str">
        <f aca="false">IF('Deal Tracker'!H45="","","Target: "&amp;TEXT('Deal Tracker'!H45,"mmm yyyy"))</f>
        <v/>
      </c>
    </row>
    <row r="46" customFormat="false" ht="15" hidden="false" customHeight="false" outlineLevel="0" collapsed="false">
      <c r="A46" s="0" t="str">
        <f aca="false">IF('Deal Tracker'!C46="","",COUNTIF('Deal Tracker'!$C$2:C46,'Deal Tracker'!C46))</f>
        <v/>
      </c>
      <c r="B46" s="0" t="str">
        <f aca="false">IF(A46="","",'Deal Tracker'!C46&amp;"#"&amp;A46)</f>
        <v/>
      </c>
      <c r="C46" s="0" t="str">
        <f aca="false">IF('Deal Tracker'!B46="","",'Deal Tracker'!B46)</f>
        <v/>
      </c>
      <c r="D46" s="0" t="str">
        <f aca="false">IF('Deal Tracker'!B46="","",IF('Deal Tracker'!D46="","TBD","$"&amp;TEXT('Deal Tracker'!D46,"#,##0")&amp;"M"))</f>
        <v/>
      </c>
      <c r="E46" s="0" t="str">
        <f aca="false">IF('Deal Tracker'!B46="","",IF(AND(F46="",G46=""),"",F46&amp;IF(OR(F46="",G46=""),"","  ·  ")&amp;G46))</f>
        <v/>
      </c>
      <c r="F46" s="0" t="str">
        <f aca="false">IF('Deal Tracker'!F46="",IF('Deal Tracker'!G46="","",'Deal Tracker'!G46),'Deal Tracker'!F46&amp;IF('Deal Tracker'!G46="","",", "&amp;'Deal Tracker'!G46))</f>
        <v/>
      </c>
      <c r="G46" s="0" t="str">
        <f aca="false">IF('Deal Tracker'!H46="","","Target: "&amp;TEXT('Deal Tracker'!H46,"mmm yyyy"))</f>
        <v/>
      </c>
    </row>
    <row r="47" customFormat="false" ht="15" hidden="false" customHeight="false" outlineLevel="0" collapsed="false">
      <c r="A47" s="0" t="str">
        <f aca="false">IF('Deal Tracker'!C47="","",COUNTIF('Deal Tracker'!$C$2:C47,'Deal Tracker'!C47))</f>
        <v/>
      </c>
      <c r="B47" s="0" t="str">
        <f aca="false">IF(A47="","",'Deal Tracker'!C47&amp;"#"&amp;A47)</f>
        <v/>
      </c>
      <c r="C47" s="0" t="str">
        <f aca="false">IF('Deal Tracker'!B47="","",'Deal Tracker'!B47)</f>
        <v/>
      </c>
      <c r="D47" s="0" t="str">
        <f aca="false">IF('Deal Tracker'!B47="","",IF('Deal Tracker'!D47="","TBD","$"&amp;TEXT('Deal Tracker'!D47,"#,##0")&amp;"M"))</f>
        <v/>
      </c>
      <c r="E47" s="0" t="str">
        <f aca="false">IF('Deal Tracker'!B47="","",IF(AND(F47="",G47=""),"",F47&amp;IF(OR(F47="",G47=""),"","  ·  ")&amp;G47))</f>
        <v/>
      </c>
      <c r="F47" s="0" t="str">
        <f aca="false">IF('Deal Tracker'!F47="",IF('Deal Tracker'!G47="","",'Deal Tracker'!G47),'Deal Tracker'!F47&amp;IF('Deal Tracker'!G47="","",", "&amp;'Deal Tracker'!G47))</f>
        <v/>
      </c>
      <c r="G47" s="0" t="str">
        <f aca="false">IF('Deal Tracker'!H47="","","Target: "&amp;TEXT('Deal Tracker'!H47,"mmm yyyy"))</f>
        <v/>
      </c>
    </row>
    <row r="48" customFormat="false" ht="15" hidden="false" customHeight="false" outlineLevel="0" collapsed="false">
      <c r="A48" s="0" t="str">
        <f aca="false">IF('Deal Tracker'!C48="","",COUNTIF('Deal Tracker'!$C$2:C48,'Deal Tracker'!C48))</f>
        <v/>
      </c>
      <c r="B48" s="0" t="str">
        <f aca="false">IF(A48="","",'Deal Tracker'!C48&amp;"#"&amp;A48)</f>
        <v/>
      </c>
      <c r="C48" s="0" t="str">
        <f aca="false">IF('Deal Tracker'!B48="","",'Deal Tracker'!B48)</f>
        <v/>
      </c>
      <c r="D48" s="0" t="str">
        <f aca="false">IF('Deal Tracker'!B48="","",IF('Deal Tracker'!D48="","TBD","$"&amp;TEXT('Deal Tracker'!D48,"#,##0")&amp;"M"))</f>
        <v/>
      </c>
      <c r="E48" s="0" t="str">
        <f aca="false">IF('Deal Tracker'!B48="","",IF(AND(F48="",G48=""),"",F48&amp;IF(OR(F48="",G48=""),"","  ·  ")&amp;G48))</f>
        <v/>
      </c>
      <c r="F48" s="0" t="str">
        <f aca="false">IF('Deal Tracker'!F48="",IF('Deal Tracker'!G48="","",'Deal Tracker'!G48),'Deal Tracker'!F48&amp;IF('Deal Tracker'!G48="","",", "&amp;'Deal Tracker'!G48))</f>
        <v/>
      </c>
      <c r="G48" s="0" t="str">
        <f aca="false">IF('Deal Tracker'!H48="","","Target: "&amp;TEXT('Deal Tracker'!H48,"mmm yyyy"))</f>
        <v/>
      </c>
    </row>
    <row r="49" customFormat="false" ht="15" hidden="false" customHeight="false" outlineLevel="0" collapsed="false">
      <c r="A49" s="0" t="str">
        <f aca="false">IF('Deal Tracker'!C49="","",COUNTIF('Deal Tracker'!$C$2:C49,'Deal Tracker'!C49))</f>
        <v/>
      </c>
      <c r="B49" s="0" t="str">
        <f aca="false">IF(A49="","",'Deal Tracker'!C49&amp;"#"&amp;A49)</f>
        <v/>
      </c>
      <c r="C49" s="0" t="str">
        <f aca="false">IF('Deal Tracker'!B49="","",'Deal Tracker'!B49)</f>
        <v/>
      </c>
      <c r="D49" s="0" t="str">
        <f aca="false">IF('Deal Tracker'!B49="","",IF('Deal Tracker'!D49="","TBD","$"&amp;TEXT('Deal Tracker'!D49,"#,##0")&amp;"M"))</f>
        <v/>
      </c>
      <c r="E49" s="0" t="str">
        <f aca="false">IF('Deal Tracker'!B49="","",IF(AND(F49="",G49=""),"",F49&amp;IF(OR(F49="",G49=""),"","  ·  ")&amp;G49))</f>
        <v/>
      </c>
      <c r="F49" s="0" t="str">
        <f aca="false">IF('Deal Tracker'!F49="",IF('Deal Tracker'!G49="","",'Deal Tracker'!G49),'Deal Tracker'!F49&amp;IF('Deal Tracker'!G49="","",", "&amp;'Deal Tracker'!G49))</f>
        <v/>
      </c>
      <c r="G49" s="0" t="str">
        <f aca="false">IF('Deal Tracker'!H49="","","Target: "&amp;TEXT('Deal Tracker'!H49,"mmm yyyy"))</f>
        <v/>
      </c>
    </row>
    <row r="50" customFormat="false" ht="15" hidden="false" customHeight="false" outlineLevel="0" collapsed="false">
      <c r="A50" s="0" t="str">
        <f aca="false">IF('Deal Tracker'!C50="","",COUNTIF('Deal Tracker'!$C$2:C50,'Deal Tracker'!C50))</f>
        <v/>
      </c>
      <c r="B50" s="0" t="str">
        <f aca="false">IF(A50="","",'Deal Tracker'!C50&amp;"#"&amp;A50)</f>
        <v/>
      </c>
      <c r="C50" s="0" t="str">
        <f aca="false">IF('Deal Tracker'!B50="","",'Deal Tracker'!B50)</f>
        <v/>
      </c>
      <c r="D50" s="0" t="str">
        <f aca="false">IF('Deal Tracker'!B50="","",IF('Deal Tracker'!D50="","TBD","$"&amp;TEXT('Deal Tracker'!D50,"#,##0")&amp;"M"))</f>
        <v/>
      </c>
      <c r="E50" s="0" t="str">
        <f aca="false">IF('Deal Tracker'!B50="","",IF(AND(F50="",G50=""),"",F50&amp;IF(OR(F50="",G50=""),"","  ·  ")&amp;G50))</f>
        <v/>
      </c>
      <c r="F50" s="0" t="str">
        <f aca="false">IF('Deal Tracker'!F50="",IF('Deal Tracker'!G50="","",'Deal Tracker'!G50),'Deal Tracker'!F50&amp;IF('Deal Tracker'!G50="","",", "&amp;'Deal Tracker'!G50))</f>
        <v/>
      </c>
      <c r="G50" s="0" t="str">
        <f aca="false">IF('Deal Tracker'!H50="","","Target: "&amp;TEXT('Deal Tracker'!H50,"mmm yyyy"))</f>
        <v/>
      </c>
    </row>
    <row r="51" customFormat="false" ht="15" hidden="false" customHeight="false" outlineLevel="0" collapsed="false">
      <c r="A51" s="0" t="str">
        <f aca="false">IF('Deal Tracker'!C51="","",COUNTIF('Deal Tracker'!$C$2:C51,'Deal Tracker'!C51))</f>
        <v/>
      </c>
      <c r="B51" s="0" t="str">
        <f aca="false">IF(A51="","",'Deal Tracker'!C51&amp;"#"&amp;A51)</f>
        <v/>
      </c>
      <c r="C51" s="0" t="str">
        <f aca="false">IF('Deal Tracker'!B51="","",'Deal Tracker'!B51)</f>
        <v/>
      </c>
      <c r="D51" s="0" t="str">
        <f aca="false">IF('Deal Tracker'!B51="","",IF('Deal Tracker'!D51="","TBD","$"&amp;TEXT('Deal Tracker'!D51,"#,##0")&amp;"M"))</f>
        <v/>
      </c>
      <c r="E51" s="0" t="str">
        <f aca="false">IF('Deal Tracker'!B51="","",IF(AND(F51="",G51=""),"",F51&amp;IF(OR(F51="",G51=""),"","  ·  ")&amp;G51))</f>
        <v/>
      </c>
      <c r="F51" s="0" t="str">
        <f aca="false">IF('Deal Tracker'!F51="",IF('Deal Tracker'!G51="","",'Deal Tracker'!G51),'Deal Tracker'!F51&amp;IF('Deal Tracker'!G51="","",", "&amp;'Deal Tracker'!G51))</f>
        <v/>
      </c>
      <c r="G51" s="0" t="str">
        <f aca="false">IF('Deal Tracker'!H51="","","Target: "&amp;TEXT('Deal Tracker'!H51,"mmm yyyy"))</f>
        <v/>
      </c>
    </row>
    <row r="52" customFormat="false" ht="15" hidden="false" customHeight="false" outlineLevel="0" collapsed="false">
      <c r="A52" s="0" t="str">
        <f aca="false">IF('Deal Tracker'!C52="","",COUNTIF('Deal Tracker'!$C$2:C52,'Deal Tracker'!C52))</f>
        <v/>
      </c>
      <c r="B52" s="0" t="str">
        <f aca="false">IF(A52="","",'Deal Tracker'!C52&amp;"#"&amp;A52)</f>
        <v/>
      </c>
      <c r="C52" s="0" t="str">
        <f aca="false">IF('Deal Tracker'!B52="","",'Deal Tracker'!B52)</f>
        <v/>
      </c>
      <c r="D52" s="0" t="str">
        <f aca="false">IF('Deal Tracker'!B52="","",IF('Deal Tracker'!D52="","TBD","$"&amp;TEXT('Deal Tracker'!D52,"#,##0")&amp;"M"))</f>
        <v/>
      </c>
      <c r="E52" s="0" t="str">
        <f aca="false">IF('Deal Tracker'!B52="","",IF(AND(F52="",G52=""),"",F52&amp;IF(OR(F52="",G52=""),"","  ·  ")&amp;G52))</f>
        <v/>
      </c>
      <c r="F52" s="0" t="str">
        <f aca="false">IF('Deal Tracker'!F52="",IF('Deal Tracker'!G52="","",'Deal Tracker'!G52),'Deal Tracker'!F52&amp;IF('Deal Tracker'!G52="","",", "&amp;'Deal Tracker'!G52))</f>
        <v/>
      </c>
      <c r="G52" s="0" t="str">
        <f aca="false">IF('Deal Tracker'!H52="","","Target: "&amp;TEXT('Deal Tracker'!H52,"mmm yyyy"))</f>
        <v/>
      </c>
    </row>
    <row r="53" customFormat="false" ht="15" hidden="false" customHeight="false" outlineLevel="0" collapsed="false">
      <c r="A53" s="0" t="str">
        <f aca="false">IF('Deal Tracker'!C53="","",COUNTIF('Deal Tracker'!$C$2:C53,'Deal Tracker'!C53))</f>
        <v/>
      </c>
      <c r="B53" s="0" t="str">
        <f aca="false">IF(A53="","",'Deal Tracker'!C53&amp;"#"&amp;A53)</f>
        <v/>
      </c>
      <c r="C53" s="0" t="str">
        <f aca="false">IF('Deal Tracker'!B53="","",'Deal Tracker'!B53)</f>
        <v/>
      </c>
      <c r="D53" s="0" t="str">
        <f aca="false">IF('Deal Tracker'!B53="","",IF('Deal Tracker'!D53="","TBD","$"&amp;TEXT('Deal Tracker'!D53,"#,##0")&amp;"M"))</f>
        <v/>
      </c>
      <c r="E53" s="0" t="str">
        <f aca="false">IF('Deal Tracker'!B53="","",IF(AND(F53="",G53=""),"",F53&amp;IF(OR(F53="",G53=""),"","  ·  ")&amp;G53))</f>
        <v/>
      </c>
      <c r="F53" s="0" t="str">
        <f aca="false">IF('Deal Tracker'!F53="",IF('Deal Tracker'!G53="","",'Deal Tracker'!G53),'Deal Tracker'!F53&amp;IF('Deal Tracker'!G53="","",", "&amp;'Deal Tracker'!G53))</f>
        <v/>
      </c>
      <c r="G53" s="0" t="str">
        <f aca="false">IF('Deal Tracker'!H53="","","Target: "&amp;TEXT('Deal Tracker'!H53,"mmm yyyy"))</f>
        <v/>
      </c>
    </row>
    <row r="54" customFormat="false" ht="15" hidden="false" customHeight="false" outlineLevel="0" collapsed="false">
      <c r="A54" s="0" t="str">
        <f aca="false">IF('Deal Tracker'!C54="","",COUNTIF('Deal Tracker'!$C$2:C54,'Deal Tracker'!C54))</f>
        <v/>
      </c>
      <c r="B54" s="0" t="str">
        <f aca="false">IF(A54="","",'Deal Tracker'!C54&amp;"#"&amp;A54)</f>
        <v/>
      </c>
      <c r="C54" s="0" t="str">
        <f aca="false">IF('Deal Tracker'!B54="","",'Deal Tracker'!B54)</f>
        <v/>
      </c>
      <c r="D54" s="0" t="str">
        <f aca="false">IF('Deal Tracker'!B54="","",IF('Deal Tracker'!D54="","TBD","$"&amp;TEXT('Deal Tracker'!D54,"#,##0")&amp;"M"))</f>
        <v/>
      </c>
      <c r="E54" s="0" t="str">
        <f aca="false">IF('Deal Tracker'!B54="","",IF(AND(F54="",G54=""),"",F54&amp;IF(OR(F54="",G54=""),"","  ·  ")&amp;G54))</f>
        <v/>
      </c>
      <c r="F54" s="0" t="str">
        <f aca="false">IF('Deal Tracker'!F54="",IF('Deal Tracker'!G54="","",'Deal Tracker'!G54),'Deal Tracker'!F54&amp;IF('Deal Tracker'!G54="","",", "&amp;'Deal Tracker'!G54))</f>
        <v/>
      </c>
      <c r="G54" s="0" t="str">
        <f aca="false">IF('Deal Tracker'!H54="","","Target: "&amp;TEXT('Deal Tracker'!H54,"mmm yyyy"))</f>
        <v/>
      </c>
    </row>
    <row r="55" customFormat="false" ht="15" hidden="false" customHeight="false" outlineLevel="0" collapsed="false">
      <c r="A55" s="0" t="str">
        <f aca="false">IF('Deal Tracker'!C55="","",COUNTIF('Deal Tracker'!$C$2:C55,'Deal Tracker'!C55))</f>
        <v/>
      </c>
      <c r="B55" s="0" t="str">
        <f aca="false">IF(A55="","",'Deal Tracker'!C55&amp;"#"&amp;A55)</f>
        <v/>
      </c>
      <c r="C55" s="0" t="str">
        <f aca="false">IF('Deal Tracker'!B55="","",'Deal Tracker'!B55)</f>
        <v/>
      </c>
      <c r="D55" s="0" t="str">
        <f aca="false">IF('Deal Tracker'!B55="","",IF('Deal Tracker'!D55="","TBD","$"&amp;TEXT('Deal Tracker'!D55,"#,##0")&amp;"M"))</f>
        <v/>
      </c>
      <c r="E55" s="0" t="str">
        <f aca="false">IF('Deal Tracker'!B55="","",IF(AND(F55="",G55=""),"",F55&amp;IF(OR(F55="",G55=""),"","  ·  ")&amp;G55))</f>
        <v/>
      </c>
      <c r="F55" s="0" t="str">
        <f aca="false">IF('Deal Tracker'!F55="",IF('Deal Tracker'!G55="","",'Deal Tracker'!G55),'Deal Tracker'!F55&amp;IF('Deal Tracker'!G55="","",", "&amp;'Deal Tracker'!G55))</f>
        <v/>
      </c>
      <c r="G55" s="0" t="str">
        <f aca="false">IF('Deal Tracker'!H55="","","Target: "&amp;TEXT('Deal Tracker'!H55,"mmm yyyy"))</f>
        <v/>
      </c>
    </row>
    <row r="56" customFormat="false" ht="15" hidden="false" customHeight="false" outlineLevel="0" collapsed="false">
      <c r="A56" s="0" t="str">
        <f aca="false">IF('Deal Tracker'!C56="","",COUNTIF('Deal Tracker'!$C$2:C56,'Deal Tracker'!C56))</f>
        <v/>
      </c>
      <c r="B56" s="0" t="str">
        <f aca="false">IF(A56="","",'Deal Tracker'!C56&amp;"#"&amp;A56)</f>
        <v/>
      </c>
      <c r="C56" s="0" t="str">
        <f aca="false">IF('Deal Tracker'!B56="","",'Deal Tracker'!B56)</f>
        <v/>
      </c>
      <c r="D56" s="0" t="str">
        <f aca="false">IF('Deal Tracker'!B56="","",IF('Deal Tracker'!D56="","TBD","$"&amp;TEXT('Deal Tracker'!D56,"#,##0")&amp;"M"))</f>
        <v/>
      </c>
      <c r="E56" s="0" t="str">
        <f aca="false">IF('Deal Tracker'!B56="","",IF(AND(F56="",G56=""),"",F56&amp;IF(OR(F56="",G56=""),"","  ·  ")&amp;G56))</f>
        <v/>
      </c>
      <c r="F56" s="0" t="str">
        <f aca="false">IF('Deal Tracker'!F56="",IF('Deal Tracker'!G56="","",'Deal Tracker'!G56),'Deal Tracker'!F56&amp;IF('Deal Tracker'!G56="","",", "&amp;'Deal Tracker'!G56))</f>
        <v/>
      </c>
      <c r="G56" s="0" t="str">
        <f aca="false">IF('Deal Tracker'!H56="","","Target: "&amp;TEXT('Deal Tracker'!H56,"mmm yyyy"))</f>
        <v/>
      </c>
    </row>
    <row r="57" customFormat="false" ht="15" hidden="false" customHeight="false" outlineLevel="0" collapsed="false">
      <c r="A57" s="0" t="str">
        <f aca="false">IF('Deal Tracker'!C57="","",COUNTIF('Deal Tracker'!$C$2:C57,'Deal Tracker'!C57))</f>
        <v/>
      </c>
      <c r="B57" s="0" t="str">
        <f aca="false">IF(A57="","",'Deal Tracker'!C57&amp;"#"&amp;A57)</f>
        <v/>
      </c>
      <c r="C57" s="0" t="str">
        <f aca="false">IF('Deal Tracker'!B57="","",'Deal Tracker'!B57)</f>
        <v/>
      </c>
      <c r="D57" s="0" t="str">
        <f aca="false">IF('Deal Tracker'!B57="","",IF('Deal Tracker'!D57="","TBD","$"&amp;TEXT('Deal Tracker'!D57,"#,##0")&amp;"M"))</f>
        <v/>
      </c>
      <c r="E57" s="0" t="str">
        <f aca="false">IF('Deal Tracker'!B57="","",IF(AND(F57="",G57=""),"",F57&amp;IF(OR(F57="",G57=""),"","  ·  ")&amp;G57))</f>
        <v/>
      </c>
      <c r="F57" s="0" t="str">
        <f aca="false">IF('Deal Tracker'!F57="",IF('Deal Tracker'!G57="","",'Deal Tracker'!G57),'Deal Tracker'!F57&amp;IF('Deal Tracker'!G57="","",", "&amp;'Deal Tracker'!G57))</f>
        <v/>
      </c>
      <c r="G57" s="0" t="str">
        <f aca="false">IF('Deal Tracker'!H57="","","Target: "&amp;TEXT('Deal Tracker'!H57,"mmm yyyy"))</f>
        <v/>
      </c>
    </row>
    <row r="58" customFormat="false" ht="15" hidden="false" customHeight="false" outlineLevel="0" collapsed="false">
      <c r="A58" s="0" t="str">
        <f aca="false">IF('Deal Tracker'!C58="","",COUNTIF('Deal Tracker'!$C$2:C58,'Deal Tracker'!C58))</f>
        <v/>
      </c>
      <c r="B58" s="0" t="str">
        <f aca="false">IF(A58="","",'Deal Tracker'!C58&amp;"#"&amp;A58)</f>
        <v/>
      </c>
      <c r="C58" s="0" t="str">
        <f aca="false">IF('Deal Tracker'!B58="","",'Deal Tracker'!B58)</f>
        <v/>
      </c>
      <c r="D58" s="0" t="str">
        <f aca="false">IF('Deal Tracker'!B58="","",IF('Deal Tracker'!D58="","TBD","$"&amp;TEXT('Deal Tracker'!D58,"#,##0")&amp;"M"))</f>
        <v/>
      </c>
      <c r="E58" s="0" t="str">
        <f aca="false">IF('Deal Tracker'!B58="","",IF(AND(F58="",G58=""),"",F58&amp;IF(OR(F58="",G58=""),"","  ·  ")&amp;G58))</f>
        <v/>
      </c>
      <c r="F58" s="0" t="str">
        <f aca="false">IF('Deal Tracker'!F58="",IF('Deal Tracker'!G58="","",'Deal Tracker'!G58),'Deal Tracker'!F58&amp;IF('Deal Tracker'!G58="","",", "&amp;'Deal Tracker'!G58))</f>
        <v/>
      </c>
      <c r="G58" s="0" t="str">
        <f aca="false">IF('Deal Tracker'!H58="","","Target: "&amp;TEXT('Deal Tracker'!H58,"mmm yyyy"))</f>
        <v/>
      </c>
    </row>
    <row r="59" customFormat="false" ht="15" hidden="false" customHeight="false" outlineLevel="0" collapsed="false">
      <c r="A59" s="0" t="str">
        <f aca="false">IF('Deal Tracker'!C59="","",COUNTIF('Deal Tracker'!$C$2:C59,'Deal Tracker'!C59))</f>
        <v/>
      </c>
      <c r="B59" s="0" t="str">
        <f aca="false">IF(A59="","",'Deal Tracker'!C59&amp;"#"&amp;A59)</f>
        <v/>
      </c>
      <c r="C59" s="0" t="str">
        <f aca="false">IF('Deal Tracker'!B59="","",'Deal Tracker'!B59)</f>
        <v/>
      </c>
      <c r="D59" s="0" t="str">
        <f aca="false">IF('Deal Tracker'!B59="","",IF('Deal Tracker'!D59="","TBD","$"&amp;TEXT('Deal Tracker'!D59,"#,##0")&amp;"M"))</f>
        <v/>
      </c>
      <c r="E59" s="0" t="str">
        <f aca="false">IF('Deal Tracker'!B59="","",IF(AND(F59="",G59=""),"",F59&amp;IF(OR(F59="",G59=""),"","  ·  ")&amp;G59))</f>
        <v/>
      </c>
      <c r="F59" s="0" t="str">
        <f aca="false">IF('Deal Tracker'!F59="",IF('Deal Tracker'!G59="","",'Deal Tracker'!G59),'Deal Tracker'!F59&amp;IF('Deal Tracker'!G59="","",", "&amp;'Deal Tracker'!G59))</f>
        <v/>
      </c>
      <c r="G59" s="0" t="str">
        <f aca="false">IF('Deal Tracker'!H59="","","Target: "&amp;TEXT('Deal Tracker'!H59,"mmm yyyy"))</f>
        <v/>
      </c>
    </row>
    <row r="60" customFormat="false" ht="15" hidden="false" customHeight="false" outlineLevel="0" collapsed="false">
      <c r="A60" s="0" t="str">
        <f aca="false">IF('Deal Tracker'!C60="","",COUNTIF('Deal Tracker'!$C$2:C60,'Deal Tracker'!C60))</f>
        <v/>
      </c>
      <c r="B60" s="0" t="str">
        <f aca="false">IF(A60="","",'Deal Tracker'!C60&amp;"#"&amp;A60)</f>
        <v/>
      </c>
      <c r="C60" s="0" t="str">
        <f aca="false">IF('Deal Tracker'!B60="","",'Deal Tracker'!B60)</f>
        <v/>
      </c>
      <c r="D60" s="0" t="str">
        <f aca="false">IF('Deal Tracker'!B60="","",IF('Deal Tracker'!D60="","TBD","$"&amp;TEXT('Deal Tracker'!D60,"#,##0")&amp;"M"))</f>
        <v/>
      </c>
      <c r="E60" s="0" t="str">
        <f aca="false">IF('Deal Tracker'!B60="","",IF(AND(F60="",G60=""),"",F60&amp;IF(OR(F60="",G60=""),"","  ·  ")&amp;G60))</f>
        <v/>
      </c>
      <c r="F60" s="0" t="str">
        <f aca="false">IF('Deal Tracker'!F60="",IF('Deal Tracker'!G60="","",'Deal Tracker'!G60),'Deal Tracker'!F60&amp;IF('Deal Tracker'!G60="","",", "&amp;'Deal Tracker'!G60))</f>
        <v/>
      </c>
      <c r="G60" s="0" t="str">
        <f aca="false">IF('Deal Tracker'!H60="","","Target: "&amp;TEXT('Deal Tracker'!H60,"mmm yyyy"))</f>
        <v/>
      </c>
    </row>
    <row r="61" customFormat="false" ht="15" hidden="false" customHeight="false" outlineLevel="0" collapsed="false">
      <c r="A61" s="0" t="str">
        <f aca="false">IF('Deal Tracker'!C61="","",COUNTIF('Deal Tracker'!$C$2:C61,'Deal Tracker'!C61))</f>
        <v/>
      </c>
      <c r="B61" s="0" t="str">
        <f aca="false">IF(A61="","",'Deal Tracker'!C61&amp;"#"&amp;A61)</f>
        <v/>
      </c>
      <c r="C61" s="0" t="str">
        <f aca="false">IF('Deal Tracker'!B61="","",'Deal Tracker'!B61)</f>
        <v/>
      </c>
      <c r="D61" s="0" t="str">
        <f aca="false">IF('Deal Tracker'!B61="","",IF('Deal Tracker'!D61="","TBD","$"&amp;TEXT('Deal Tracker'!D61,"#,##0")&amp;"M"))</f>
        <v/>
      </c>
      <c r="E61" s="0" t="str">
        <f aca="false">IF('Deal Tracker'!B61="","",IF(AND(F61="",G61=""),"",F61&amp;IF(OR(F61="",G61=""),"","  ·  ")&amp;G61))</f>
        <v/>
      </c>
      <c r="F61" s="0" t="str">
        <f aca="false">IF('Deal Tracker'!F61="",IF('Deal Tracker'!G61="","",'Deal Tracker'!G61),'Deal Tracker'!F61&amp;IF('Deal Tracker'!G61="","",", "&amp;'Deal Tracker'!G61))</f>
        <v/>
      </c>
      <c r="G61" s="0" t="str">
        <f aca="false">IF('Deal Tracker'!H61="","","Target: "&amp;TEXT('Deal Tracker'!H61,"mmm yyyy"))</f>
        <v/>
      </c>
    </row>
    <row r="62" customFormat="false" ht="15" hidden="false" customHeight="false" outlineLevel="0" collapsed="false">
      <c r="A62" s="0" t="str">
        <f aca="false">IF('Deal Tracker'!C62="","",COUNTIF('Deal Tracker'!$C$2:C62,'Deal Tracker'!C62))</f>
        <v/>
      </c>
      <c r="B62" s="0" t="str">
        <f aca="false">IF(A62="","",'Deal Tracker'!C62&amp;"#"&amp;A62)</f>
        <v/>
      </c>
      <c r="C62" s="0" t="str">
        <f aca="false">IF('Deal Tracker'!B62="","",'Deal Tracker'!B62)</f>
        <v/>
      </c>
      <c r="D62" s="0" t="str">
        <f aca="false">IF('Deal Tracker'!B62="","",IF('Deal Tracker'!D62="","TBD","$"&amp;TEXT('Deal Tracker'!D62,"#,##0")&amp;"M"))</f>
        <v/>
      </c>
      <c r="E62" s="0" t="str">
        <f aca="false">IF('Deal Tracker'!B62="","",IF(AND(F62="",G62=""),"",F62&amp;IF(OR(F62="",G62=""),"","  ·  ")&amp;G62))</f>
        <v/>
      </c>
      <c r="F62" s="0" t="str">
        <f aca="false">IF('Deal Tracker'!F62="",IF('Deal Tracker'!G62="","",'Deal Tracker'!G62),'Deal Tracker'!F62&amp;IF('Deal Tracker'!G62="","",", "&amp;'Deal Tracker'!G62))</f>
        <v/>
      </c>
      <c r="G62" s="0" t="str">
        <f aca="false">IF('Deal Tracker'!H62="","","Target: "&amp;TEXT('Deal Tracker'!H62,"mmm yyyy"))</f>
        <v/>
      </c>
    </row>
    <row r="63" customFormat="false" ht="15" hidden="false" customHeight="false" outlineLevel="0" collapsed="false">
      <c r="A63" s="0" t="str">
        <f aca="false">IF('Deal Tracker'!C63="","",COUNTIF('Deal Tracker'!$C$2:C63,'Deal Tracker'!C63))</f>
        <v/>
      </c>
      <c r="B63" s="0" t="str">
        <f aca="false">IF(A63="","",'Deal Tracker'!C63&amp;"#"&amp;A63)</f>
        <v/>
      </c>
      <c r="C63" s="0" t="str">
        <f aca="false">IF('Deal Tracker'!B63="","",'Deal Tracker'!B63)</f>
        <v/>
      </c>
      <c r="D63" s="0" t="str">
        <f aca="false">IF('Deal Tracker'!B63="","",IF('Deal Tracker'!D63="","TBD","$"&amp;TEXT('Deal Tracker'!D63,"#,##0")&amp;"M"))</f>
        <v/>
      </c>
      <c r="E63" s="0" t="str">
        <f aca="false">IF('Deal Tracker'!B63="","",IF(AND(F63="",G63=""),"",F63&amp;IF(OR(F63="",G63=""),"","  ·  ")&amp;G63))</f>
        <v/>
      </c>
      <c r="F63" s="0" t="str">
        <f aca="false">IF('Deal Tracker'!F63="",IF('Deal Tracker'!G63="","",'Deal Tracker'!G63),'Deal Tracker'!F63&amp;IF('Deal Tracker'!G63="","",", "&amp;'Deal Tracker'!G63))</f>
        <v/>
      </c>
      <c r="G63" s="0" t="str">
        <f aca="false">IF('Deal Tracker'!H63="","","Target: "&amp;TEXT('Deal Tracker'!H63,"mmm yyyy"))</f>
        <v/>
      </c>
    </row>
    <row r="64" customFormat="false" ht="15" hidden="false" customHeight="false" outlineLevel="0" collapsed="false">
      <c r="A64" s="0" t="str">
        <f aca="false">IF('Deal Tracker'!C64="","",COUNTIF('Deal Tracker'!$C$2:C64,'Deal Tracker'!C64))</f>
        <v/>
      </c>
      <c r="B64" s="0" t="str">
        <f aca="false">IF(A64="","",'Deal Tracker'!C64&amp;"#"&amp;A64)</f>
        <v/>
      </c>
      <c r="C64" s="0" t="str">
        <f aca="false">IF('Deal Tracker'!B64="","",'Deal Tracker'!B64)</f>
        <v/>
      </c>
      <c r="D64" s="0" t="str">
        <f aca="false">IF('Deal Tracker'!B64="","",IF('Deal Tracker'!D64="","TBD","$"&amp;TEXT('Deal Tracker'!D64,"#,##0")&amp;"M"))</f>
        <v/>
      </c>
      <c r="E64" s="0" t="str">
        <f aca="false">IF('Deal Tracker'!B64="","",IF(AND(F64="",G64=""),"",F64&amp;IF(OR(F64="",G64=""),"","  ·  ")&amp;G64))</f>
        <v/>
      </c>
      <c r="F64" s="0" t="str">
        <f aca="false">IF('Deal Tracker'!F64="",IF('Deal Tracker'!G64="","",'Deal Tracker'!G64),'Deal Tracker'!F64&amp;IF('Deal Tracker'!G64="","",", "&amp;'Deal Tracker'!G64))</f>
        <v/>
      </c>
      <c r="G64" s="0" t="str">
        <f aca="false">IF('Deal Tracker'!H64="","","Target: "&amp;TEXT('Deal Tracker'!H64,"mmm yyyy"))</f>
        <v/>
      </c>
    </row>
    <row r="65" customFormat="false" ht="15" hidden="false" customHeight="false" outlineLevel="0" collapsed="false">
      <c r="A65" s="0" t="str">
        <f aca="false">IF('Deal Tracker'!C65="","",COUNTIF('Deal Tracker'!$C$2:C65,'Deal Tracker'!C65))</f>
        <v/>
      </c>
      <c r="B65" s="0" t="str">
        <f aca="false">IF(A65="","",'Deal Tracker'!C65&amp;"#"&amp;A65)</f>
        <v/>
      </c>
      <c r="C65" s="0" t="str">
        <f aca="false">IF('Deal Tracker'!B65="","",'Deal Tracker'!B65)</f>
        <v/>
      </c>
      <c r="D65" s="0" t="str">
        <f aca="false">IF('Deal Tracker'!B65="","",IF('Deal Tracker'!D65="","TBD","$"&amp;TEXT('Deal Tracker'!D65,"#,##0")&amp;"M"))</f>
        <v/>
      </c>
      <c r="E65" s="0" t="str">
        <f aca="false">IF('Deal Tracker'!B65="","",IF(AND(F65="",G65=""),"",F65&amp;IF(OR(F65="",G65=""),"","  ·  ")&amp;G65))</f>
        <v/>
      </c>
      <c r="F65" s="0" t="str">
        <f aca="false">IF('Deal Tracker'!F65="",IF('Deal Tracker'!G65="","",'Deal Tracker'!G65),'Deal Tracker'!F65&amp;IF('Deal Tracker'!G65="","",", "&amp;'Deal Tracker'!G65))</f>
        <v/>
      </c>
      <c r="G65" s="0" t="str">
        <f aca="false">IF('Deal Tracker'!H65="","","Target: "&amp;TEXT('Deal Tracker'!H65,"mmm yyyy"))</f>
        <v/>
      </c>
    </row>
    <row r="66" customFormat="false" ht="15" hidden="false" customHeight="false" outlineLevel="0" collapsed="false">
      <c r="A66" s="0" t="str">
        <f aca="false">IF('Deal Tracker'!C66="","",COUNTIF('Deal Tracker'!$C$2:C66,'Deal Tracker'!C66))</f>
        <v/>
      </c>
      <c r="B66" s="0" t="str">
        <f aca="false">IF(A66="","",'Deal Tracker'!C66&amp;"#"&amp;A66)</f>
        <v/>
      </c>
      <c r="C66" s="0" t="str">
        <f aca="false">IF('Deal Tracker'!B66="","",'Deal Tracker'!B66)</f>
        <v/>
      </c>
      <c r="D66" s="0" t="str">
        <f aca="false">IF('Deal Tracker'!B66="","",IF('Deal Tracker'!D66="","TBD","$"&amp;TEXT('Deal Tracker'!D66,"#,##0")&amp;"M"))</f>
        <v/>
      </c>
      <c r="E66" s="0" t="str">
        <f aca="false">IF('Deal Tracker'!B66="","",IF(AND(F66="",G66=""),"",F66&amp;IF(OR(F66="",G66=""),"","  ·  ")&amp;G66))</f>
        <v/>
      </c>
      <c r="F66" s="0" t="str">
        <f aca="false">IF('Deal Tracker'!F66="",IF('Deal Tracker'!G66="","",'Deal Tracker'!G66),'Deal Tracker'!F66&amp;IF('Deal Tracker'!G66="","",", "&amp;'Deal Tracker'!G66))</f>
        <v/>
      </c>
      <c r="G66" s="0" t="str">
        <f aca="false">IF('Deal Tracker'!H66="","","Target: "&amp;TEXT('Deal Tracker'!H66,"mmm yyyy"))</f>
        <v/>
      </c>
    </row>
    <row r="67" customFormat="false" ht="15" hidden="false" customHeight="false" outlineLevel="0" collapsed="false">
      <c r="A67" s="0" t="str">
        <f aca="false">IF('Deal Tracker'!C67="","",COUNTIF('Deal Tracker'!$C$2:C67,'Deal Tracker'!C67))</f>
        <v/>
      </c>
      <c r="B67" s="0" t="str">
        <f aca="false">IF(A67="","",'Deal Tracker'!C67&amp;"#"&amp;A67)</f>
        <v/>
      </c>
      <c r="C67" s="0" t="str">
        <f aca="false">IF('Deal Tracker'!B67="","",'Deal Tracker'!B67)</f>
        <v/>
      </c>
      <c r="D67" s="0" t="str">
        <f aca="false">IF('Deal Tracker'!B67="","",IF('Deal Tracker'!D67="","TBD","$"&amp;TEXT('Deal Tracker'!D67,"#,##0")&amp;"M"))</f>
        <v/>
      </c>
      <c r="E67" s="0" t="str">
        <f aca="false">IF('Deal Tracker'!B67="","",IF(AND(F67="",G67=""),"",F67&amp;IF(OR(F67="",G67=""),"","  ·  ")&amp;G67))</f>
        <v/>
      </c>
      <c r="F67" s="0" t="str">
        <f aca="false">IF('Deal Tracker'!F67="",IF('Deal Tracker'!G67="","",'Deal Tracker'!G67),'Deal Tracker'!F67&amp;IF('Deal Tracker'!G67="","",", "&amp;'Deal Tracker'!G67))</f>
        <v/>
      </c>
      <c r="G67" s="0" t="str">
        <f aca="false">IF('Deal Tracker'!H67="","","Target: "&amp;TEXT('Deal Tracker'!H67,"mmm yyyy"))</f>
        <v/>
      </c>
    </row>
    <row r="68" customFormat="false" ht="15" hidden="false" customHeight="false" outlineLevel="0" collapsed="false">
      <c r="A68" s="0" t="str">
        <f aca="false">IF('Deal Tracker'!C68="","",COUNTIF('Deal Tracker'!$C$2:C68,'Deal Tracker'!C68))</f>
        <v/>
      </c>
      <c r="B68" s="0" t="str">
        <f aca="false">IF(A68="","",'Deal Tracker'!C68&amp;"#"&amp;A68)</f>
        <v/>
      </c>
      <c r="C68" s="0" t="str">
        <f aca="false">IF('Deal Tracker'!B68="","",'Deal Tracker'!B68)</f>
        <v/>
      </c>
      <c r="D68" s="0" t="str">
        <f aca="false">IF('Deal Tracker'!B68="","",IF('Deal Tracker'!D68="","TBD","$"&amp;TEXT('Deal Tracker'!D68,"#,##0")&amp;"M"))</f>
        <v/>
      </c>
      <c r="E68" s="0" t="str">
        <f aca="false">IF('Deal Tracker'!B68="","",IF(AND(F68="",G68=""),"",F68&amp;IF(OR(F68="",G68=""),"","  ·  ")&amp;G68))</f>
        <v/>
      </c>
      <c r="F68" s="0" t="str">
        <f aca="false">IF('Deal Tracker'!F68="",IF('Deal Tracker'!G68="","",'Deal Tracker'!G68),'Deal Tracker'!F68&amp;IF('Deal Tracker'!G68="","",", "&amp;'Deal Tracker'!G68))</f>
        <v/>
      </c>
      <c r="G68" s="0" t="str">
        <f aca="false">IF('Deal Tracker'!H68="","","Target: "&amp;TEXT('Deal Tracker'!H68,"mmm yyyy"))</f>
        <v/>
      </c>
    </row>
    <row r="69" customFormat="false" ht="15" hidden="false" customHeight="false" outlineLevel="0" collapsed="false">
      <c r="A69" s="0" t="str">
        <f aca="false">IF('Deal Tracker'!C69="","",COUNTIF('Deal Tracker'!$C$2:C69,'Deal Tracker'!C69))</f>
        <v/>
      </c>
      <c r="B69" s="0" t="str">
        <f aca="false">IF(A69="","",'Deal Tracker'!C69&amp;"#"&amp;A69)</f>
        <v/>
      </c>
      <c r="C69" s="0" t="str">
        <f aca="false">IF('Deal Tracker'!B69="","",'Deal Tracker'!B69)</f>
        <v/>
      </c>
      <c r="D69" s="0" t="str">
        <f aca="false">IF('Deal Tracker'!B69="","",IF('Deal Tracker'!D69="","TBD","$"&amp;TEXT('Deal Tracker'!D69,"#,##0")&amp;"M"))</f>
        <v/>
      </c>
      <c r="E69" s="0" t="str">
        <f aca="false">IF('Deal Tracker'!B69="","",IF(AND(F69="",G69=""),"",F69&amp;IF(OR(F69="",G69=""),"","  ·  ")&amp;G69))</f>
        <v/>
      </c>
      <c r="F69" s="0" t="str">
        <f aca="false">IF('Deal Tracker'!F69="",IF('Deal Tracker'!G69="","",'Deal Tracker'!G69),'Deal Tracker'!F69&amp;IF('Deal Tracker'!G69="","",", "&amp;'Deal Tracker'!G69))</f>
        <v/>
      </c>
      <c r="G69" s="0" t="str">
        <f aca="false">IF('Deal Tracker'!H69="","","Target: "&amp;TEXT('Deal Tracker'!H69,"mmm yyyy"))</f>
        <v/>
      </c>
    </row>
    <row r="70" customFormat="false" ht="15" hidden="false" customHeight="false" outlineLevel="0" collapsed="false">
      <c r="A70" s="0" t="str">
        <f aca="false">IF('Deal Tracker'!C70="","",COUNTIF('Deal Tracker'!$C$2:C70,'Deal Tracker'!C70))</f>
        <v/>
      </c>
      <c r="B70" s="0" t="str">
        <f aca="false">IF(A70="","",'Deal Tracker'!C70&amp;"#"&amp;A70)</f>
        <v/>
      </c>
      <c r="C70" s="0" t="str">
        <f aca="false">IF('Deal Tracker'!B70="","",'Deal Tracker'!B70)</f>
        <v/>
      </c>
      <c r="D70" s="0" t="str">
        <f aca="false">IF('Deal Tracker'!B70="","",IF('Deal Tracker'!D70="","TBD","$"&amp;TEXT('Deal Tracker'!D70,"#,##0")&amp;"M"))</f>
        <v/>
      </c>
      <c r="E70" s="0" t="str">
        <f aca="false">IF('Deal Tracker'!B70="","",IF(AND(F70="",G70=""),"",F70&amp;IF(OR(F70="",G70=""),"","  ·  ")&amp;G70))</f>
        <v/>
      </c>
      <c r="F70" s="0" t="str">
        <f aca="false">IF('Deal Tracker'!F70="",IF('Deal Tracker'!G70="","",'Deal Tracker'!G70),'Deal Tracker'!F70&amp;IF('Deal Tracker'!G70="","",", "&amp;'Deal Tracker'!G70))</f>
        <v/>
      </c>
      <c r="G70" s="0" t="str">
        <f aca="false">IF('Deal Tracker'!H70="","","Target: "&amp;TEXT('Deal Tracker'!H70,"mmm yyyy"))</f>
        <v/>
      </c>
    </row>
    <row r="71" customFormat="false" ht="15" hidden="false" customHeight="false" outlineLevel="0" collapsed="false">
      <c r="A71" s="0" t="str">
        <f aca="false">IF('Deal Tracker'!C71="","",COUNTIF('Deal Tracker'!$C$2:C71,'Deal Tracker'!C71))</f>
        <v/>
      </c>
      <c r="B71" s="0" t="str">
        <f aca="false">IF(A71="","",'Deal Tracker'!C71&amp;"#"&amp;A71)</f>
        <v/>
      </c>
      <c r="C71" s="0" t="str">
        <f aca="false">IF('Deal Tracker'!B71="","",'Deal Tracker'!B71)</f>
        <v/>
      </c>
      <c r="D71" s="0" t="str">
        <f aca="false">IF('Deal Tracker'!B71="","",IF('Deal Tracker'!D71="","TBD","$"&amp;TEXT('Deal Tracker'!D71,"#,##0")&amp;"M"))</f>
        <v/>
      </c>
      <c r="E71" s="0" t="str">
        <f aca="false">IF('Deal Tracker'!B71="","",IF(AND(F71="",G71=""),"",F71&amp;IF(OR(F71="",G71=""),"","  ·  ")&amp;G71))</f>
        <v/>
      </c>
      <c r="F71" s="0" t="str">
        <f aca="false">IF('Deal Tracker'!F71="",IF('Deal Tracker'!G71="","",'Deal Tracker'!G71),'Deal Tracker'!F71&amp;IF('Deal Tracker'!G71="","",", "&amp;'Deal Tracker'!G71))</f>
        <v/>
      </c>
      <c r="G71" s="0" t="str">
        <f aca="false">IF('Deal Tracker'!H71="","","Target: "&amp;TEXT('Deal Tracker'!H71,"mmm yyyy"))</f>
        <v/>
      </c>
    </row>
    <row r="72" customFormat="false" ht="15" hidden="false" customHeight="false" outlineLevel="0" collapsed="false">
      <c r="A72" s="0" t="str">
        <f aca="false">IF('Deal Tracker'!C72="","",COUNTIF('Deal Tracker'!$C$2:C72,'Deal Tracker'!C72))</f>
        <v/>
      </c>
      <c r="B72" s="0" t="str">
        <f aca="false">IF(A72="","",'Deal Tracker'!C72&amp;"#"&amp;A72)</f>
        <v/>
      </c>
      <c r="C72" s="0" t="str">
        <f aca="false">IF('Deal Tracker'!B72="","",'Deal Tracker'!B72)</f>
        <v/>
      </c>
      <c r="D72" s="0" t="str">
        <f aca="false">IF('Deal Tracker'!B72="","",IF('Deal Tracker'!D72="","TBD","$"&amp;TEXT('Deal Tracker'!D72,"#,##0")&amp;"M"))</f>
        <v/>
      </c>
      <c r="E72" s="0" t="str">
        <f aca="false">IF('Deal Tracker'!B72="","",IF(AND(F72="",G72=""),"",F72&amp;IF(OR(F72="",G72=""),"","  ·  ")&amp;G72))</f>
        <v/>
      </c>
      <c r="F72" s="0" t="str">
        <f aca="false">IF('Deal Tracker'!F72="",IF('Deal Tracker'!G72="","",'Deal Tracker'!G72),'Deal Tracker'!F72&amp;IF('Deal Tracker'!G72="","",", "&amp;'Deal Tracker'!G72))</f>
        <v/>
      </c>
      <c r="G72" s="0" t="str">
        <f aca="false">IF('Deal Tracker'!H72="","","Target: "&amp;TEXT('Deal Tracker'!H72,"mmm yyyy"))</f>
        <v/>
      </c>
    </row>
    <row r="73" customFormat="false" ht="15" hidden="false" customHeight="false" outlineLevel="0" collapsed="false">
      <c r="A73" s="0" t="str">
        <f aca="false">IF('Deal Tracker'!C73="","",COUNTIF('Deal Tracker'!$C$2:C73,'Deal Tracker'!C73))</f>
        <v/>
      </c>
      <c r="B73" s="0" t="str">
        <f aca="false">IF(A73="","",'Deal Tracker'!C73&amp;"#"&amp;A73)</f>
        <v/>
      </c>
      <c r="C73" s="0" t="str">
        <f aca="false">IF('Deal Tracker'!B73="","",'Deal Tracker'!B73)</f>
        <v/>
      </c>
      <c r="D73" s="0" t="str">
        <f aca="false">IF('Deal Tracker'!B73="","",IF('Deal Tracker'!D73="","TBD","$"&amp;TEXT('Deal Tracker'!D73,"#,##0")&amp;"M"))</f>
        <v/>
      </c>
      <c r="E73" s="0" t="str">
        <f aca="false">IF('Deal Tracker'!B73="","",IF(AND(F73="",G73=""),"",F73&amp;IF(OR(F73="",G73=""),"","  ·  ")&amp;G73))</f>
        <v/>
      </c>
      <c r="F73" s="0" t="str">
        <f aca="false">IF('Deal Tracker'!F73="",IF('Deal Tracker'!G73="","",'Deal Tracker'!G73),'Deal Tracker'!F73&amp;IF('Deal Tracker'!G73="","",", "&amp;'Deal Tracker'!G73))</f>
        <v/>
      </c>
      <c r="G73" s="0" t="str">
        <f aca="false">IF('Deal Tracker'!H73="","","Target: "&amp;TEXT('Deal Tracker'!H73,"mmm yyyy"))</f>
        <v/>
      </c>
    </row>
    <row r="74" customFormat="false" ht="15" hidden="false" customHeight="false" outlineLevel="0" collapsed="false">
      <c r="A74" s="0" t="str">
        <f aca="false">IF('Deal Tracker'!C74="","",COUNTIF('Deal Tracker'!$C$2:C74,'Deal Tracker'!C74))</f>
        <v/>
      </c>
      <c r="B74" s="0" t="str">
        <f aca="false">IF(A74="","",'Deal Tracker'!C74&amp;"#"&amp;A74)</f>
        <v/>
      </c>
      <c r="C74" s="0" t="str">
        <f aca="false">IF('Deal Tracker'!B74="","",'Deal Tracker'!B74)</f>
        <v/>
      </c>
      <c r="D74" s="0" t="str">
        <f aca="false">IF('Deal Tracker'!B74="","",IF('Deal Tracker'!D74="","TBD","$"&amp;TEXT('Deal Tracker'!D74,"#,##0")&amp;"M"))</f>
        <v/>
      </c>
      <c r="E74" s="0" t="str">
        <f aca="false">IF('Deal Tracker'!B74="","",IF(AND(F74="",G74=""),"",F74&amp;IF(OR(F74="",G74=""),"","  ·  ")&amp;G74))</f>
        <v/>
      </c>
      <c r="F74" s="0" t="str">
        <f aca="false">IF('Deal Tracker'!F74="",IF('Deal Tracker'!G74="","",'Deal Tracker'!G74),'Deal Tracker'!F74&amp;IF('Deal Tracker'!G74="","",", "&amp;'Deal Tracker'!G74))</f>
        <v/>
      </c>
      <c r="G74" s="0" t="str">
        <f aca="false">IF('Deal Tracker'!H74="","","Target: "&amp;TEXT('Deal Tracker'!H74,"mmm yyyy"))</f>
        <v/>
      </c>
    </row>
    <row r="75" customFormat="false" ht="15" hidden="false" customHeight="false" outlineLevel="0" collapsed="false">
      <c r="A75" s="0" t="str">
        <f aca="false">IF('Deal Tracker'!C75="","",COUNTIF('Deal Tracker'!$C$2:C75,'Deal Tracker'!C75))</f>
        <v/>
      </c>
      <c r="B75" s="0" t="str">
        <f aca="false">IF(A75="","",'Deal Tracker'!C75&amp;"#"&amp;A75)</f>
        <v/>
      </c>
      <c r="C75" s="0" t="str">
        <f aca="false">IF('Deal Tracker'!B75="","",'Deal Tracker'!B75)</f>
        <v/>
      </c>
      <c r="D75" s="0" t="str">
        <f aca="false">IF('Deal Tracker'!B75="","",IF('Deal Tracker'!D75="","TBD","$"&amp;TEXT('Deal Tracker'!D75,"#,##0")&amp;"M"))</f>
        <v/>
      </c>
      <c r="E75" s="0" t="str">
        <f aca="false">IF('Deal Tracker'!B75="","",IF(AND(F75="",G75=""),"",F75&amp;IF(OR(F75="",G75=""),"","  ·  ")&amp;G75))</f>
        <v/>
      </c>
      <c r="F75" s="0" t="str">
        <f aca="false">IF('Deal Tracker'!F75="",IF('Deal Tracker'!G75="","",'Deal Tracker'!G75),'Deal Tracker'!F75&amp;IF('Deal Tracker'!G75="","",", "&amp;'Deal Tracker'!G75))</f>
        <v/>
      </c>
      <c r="G75" s="0" t="str">
        <f aca="false">IF('Deal Tracker'!H75="","","Target: "&amp;TEXT('Deal Tracker'!H75,"mmm yyyy"))</f>
        <v/>
      </c>
    </row>
    <row r="76" customFormat="false" ht="15" hidden="false" customHeight="false" outlineLevel="0" collapsed="false">
      <c r="A76" s="0" t="str">
        <f aca="false">IF('Deal Tracker'!C76="","",COUNTIF('Deal Tracker'!$C$2:C76,'Deal Tracker'!C76))</f>
        <v/>
      </c>
      <c r="B76" s="0" t="str">
        <f aca="false">IF(A76="","",'Deal Tracker'!C76&amp;"#"&amp;A76)</f>
        <v/>
      </c>
      <c r="C76" s="0" t="str">
        <f aca="false">IF('Deal Tracker'!B76="","",'Deal Tracker'!B76)</f>
        <v/>
      </c>
      <c r="D76" s="0" t="str">
        <f aca="false">IF('Deal Tracker'!B76="","",IF('Deal Tracker'!D76="","TBD","$"&amp;TEXT('Deal Tracker'!D76,"#,##0")&amp;"M"))</f>
        <v/>
      </c>
      <c r="E76" s="0" t="str">
        <f aca="false">IF('Deal Tracker'!B76="","",IF(AND(F76="",G76=""),"",F76&amp;IF(OR(F76="",G76=""),"","  ·  ")&amp;G76))</f>
        <v/>
      </c>
      <c r="F76" s="0" t="str">
        <f aca="false">IF('Deal Tracker'!F76="",IF('Deal Tracker'!G76="","",'Deal Tracker'!G76),'Deal Tracker'!F76&amp;IF('Deal Tracker'!G76="","",", "&amp;'Deal Tracker'!G76))</f>
        <v/>
      </c>
      <c r="G76" s="0" t="str">
        <f aca="false">IF('Deal Tracker'!H76="","","Target: "&amp;TEXT('Deal Tracker'!H76,"mmm yyyy"))</f>
        <v/>
      </c>
    </row>
    <row r="77" customFormat="false" ht="15" hidden="false" customHeight="false" outlineLevel="0" collapsed="false">
      <c r="A77" s="0" t="str">
        <f aca="false">IF('Deal Tracker'!C77="","",COUNTIF('Deal Tracker'!$C$2:C77,'Deal Tracker'!C77))</f>
        <v/>
      </c>
      <c r="B77" s="0" t="str">
        <f aca="false">IF(A77="","",'Deal Tracker'!C77&amp;"#"&amp;A77)</f>
        <v/>
      </c>
      <c r="C77" s="0" t="str">
        <f aca="false">IF('Deal Tracker'!B77="","",'Deal Tracker'!B77)</f>
        <v/>
      </c>
      <c r="D77" s="0" t="str">
        <f aca="false">IF('Deal Tracker'!B77="","",IF('Deal Tracker'!D77="","TBD","$"&amp;TEXT('Deal Tracker'!D77,"#,##0")&amp;"M"))</f>
        <v/>
      </c>
      <c r="E77" s="0" t="str">
        <f aca="false">IF('Deal Tracker'!B77="","",IF(AND(F77="",G77=""),"",F77&amp;IF(OR(F77="",G77=""),"","  ·  ")&amp;G77))</f>
        <v/>
      </c>
      <c r="F77" s="0" t="str">
        <f aca="false">IF('Deal Tracker'!F77="",IF('Deal Tracker'!G77="","",'Deal Tracker'!G77),'Deal Tracker'!F77&amp;IF('Deal Tracker'!G77="","",", "&amp;'Deal Tracker'!G77))</f>
        <v/>
      </c>
      <c r="G77" s="0" t="str">
        <f aca="false">IF('Deal Tracker'!H77="","","Target: "&amp;TEXT('Deal Tracker'!H77,"mmm yyyy"))</f>
        <v/>
      </c>
    </row>
    <row r="78" customFormat="false" ht="15" hidden="false" customHeight="false" outlineLevel="0" collapsed="false">
      <c r="A78" s="0" t="str">
        <f aca="false">IF('Deal Tracker'!C78="","",COUNTIF('Deal Tracker'!$C$2:C78,'Deal Tracker'!C78))</f>
        <v/>
      </c>
      <c r="B78" s="0" t="str">
        <f aca="false">IF(A78="","",'Deal Tracker'!C78&amp;"#"&amp;A78)</f>
        <v/>
      </c>
      <c r="C78" s="0" t="str">
        <f aca="false">IF('Deal Tracker'!B78="","",'Deal Tracker'!B78)</f>
        <v/>
      </c>
      <c r="D78" s="0" t="str">
        <f aca="false">IF('Deal Tracker'!B78="","",IF('Deal Tracker'!D78="","TBD","$"&amp;TEXT('Deal Tracker'!D78,"#,##0")&amp;"M"))</f>
        <v/>
      </c>
      <c r="E78" s="0" t="str">
        <f aca="false">IF('Deal Tracker'!B78="","",IF(AND(F78="",G78=""),"",F78&amp;IF(OR(F78="",G78=""),"","  ·  ")&amp;G78))</f>
        <v/>
      </c>
      <c r="F78" s="0" t="str">
        <f aca="false">IF('Deal Tracker'!F78="",IF('Deal Tracker'!G78="","",'Deal Tracker'!G78),'Deal Tracker'!F78&amp;IF('Deal Tracker'!G78="","",", "&amp;'Deal Tracker'!G78))</f>
        <v/>
      </c>
      <c r="G78" s="0" t="str">
        <f aca="false">IF('Deal Tracker'!H78="","","Target: "&amp;TEXT('Deal Tracker'!H78,"mmm yyyy"))</f>
        <v/>
      </c>
    </row>
    <row r="79" customFormat="false" ht="15" hidden="false" customHeight="false" outlineLevel="0" collapsed="false">
      <c r="A79" s="0" t="str">
        <f aca="false">IF('Deal Tracker'!C79="","",COUNTIF('Deal Tracker'!$C$2:C79,'Deal Tracker'!C79))</f>
        <v/>
      </c>
      <c r="B79" s="0" t="str">
        <f aca="false">IF(A79="","",'Deal Tracker'!C79&amp;"#"&amp;A79)</f>
        <v/>
      </c>
      <c r="C79" s="0" t="str">
        <f aca="false">IF('Deal Tracker'!B79="","",'Deal Tracker'!B79)</f>
        <v/>
      </c>
      <c r="D79" s="0" t="str">
        <f aca="false">IF('Deal Tracker'!B79="","",IF('Deal Tracker'!D79="","TBD","$"&amp;TEXT('Deal Tracker'!D79,"#,##0")&amp;"M"))</f>
        <v/>
      </c>
      <c r="E79" s="0" t="str">
        <f aca="false">IF('Deal Tracker'!B79="","",IF(AND(F79="",G79=""),"",F79&amp;IF(OR(F79="",G79=""),"","  ·  ")&amp;G79))</f>
        <v/>
      </c>
      <c r="F79" s="0" t="str">
        <f aca="false">IF('Deal Tracker'!F79="",IF('Deal Tracker'!G79="","",'Deal Tracker'!G79),'Deal Tracker'!F79&amp;IF('Deal Tracker'!G79="","",", "&amp;'Deal Tracker'!G79))</f>
        <v/>
      </c>
      <c r="G79" s="0" t="str">
        <f aca="false">IF('Deal Tracker'!H79="","","Target: "&amp;TEXT('Deal Tracker'!H79,"mmm yyyy"))</f>
        <v/>
      </c>
    </row>
    <row r="80" customFormat="false" ht="15" hidden="false" customHeight="false" outlineLevel="0" collapsed="false">
      <c r="A80" s="0" t="str">
        <f aca="false">IF('Deal Tracker'!C80="","",COUNTIF('Deal Tracker'!$C$2:C80,'Deal Tracker'!C80))</f>
        <v/>
      </c>
      <c r="B80" s="0" t="str">
        <f aca="false">IF(A80="","",'Deal Tracker'!C80&amp;"#"&amp;A80)</f>
        <v/>
      </c>
      <c r="C80" s="0" t="str">
        <f aca="false">IF('Deal Tracker'!B80="","",'Deal Tracker'!B80)</f>
        <v/>
      </c>
      <c r="D80" s="0" t="str">
        <f aca="false">IF('Deal Tracker'!B80="","",IF('Deal Tracker'!D80="","TBD","$"&amp;TEXT('Deal Tracker'!D80,"#,##0")&amp;"M"))</f>
        <v/>
      </c>
      <c r="E80" s="0" t="str">
        <f aca="false">IF('Deal Tracker'!B80="","",IF(AND(F80="",G80=""),"",F80&amp;IF(OR(F80="",G80=""),"","  ·  ")&amp;G80))</f>
        <v/>
      </c>
      <c r="F80" s="0" t="str">
        <f aca="false">IF('Deal Tracker'!F80="",IF('Deal Tracker'!G80="","",'Deal Tracker'!G80),'Deal Tracker'!F80&amp;IF('Deal Tracker'!G80="","",", "&amp;'Deal Tracker'!G80))</f>
        <v/>
      </c>
      <c r="G80" s="0" t="str">
        <f aca="false">IF('Deal Tracker'!H80="","","Target: "&amp;TEXT('Deal Tracker'!H80,"mmm yyyy"))</f>
        <v/>
      </c>
    </row>
    <row r="81" customFormat="false" ht="15" hidden="false" customHeight="false" outlineLevel="0" collapsed="false">
      <c r="A81" s="0" t="str">
        <f aca="false">IF('Deal Tracker'!C81="","",COUNTIF('Deal Tracker'!$C$2:C81,'Deal Tracker'!C81))</f>
        <v/>
      </c>
      <c r="B81" s="0" t="str">
        <f aca="false">IF(A81="","",'Deal Tracker'!C81&amp;"#"&amp;A81)</f>
        <v/>
      </c>
      <c r="C81" s="0" t="str">
        <f aca="false">IF('Deal Tracker'!B81="","",'Deal Tracker'!B81)</f>
        <v/>
      </c>
      <c r="D81" s="0" t="str">
        <f aca="false">IF('Deal Tracker'!B81="","",IF('Deal Tracker'!D81="","TBD","$"&amp;TEXT('Deal Tracker'!D81,"#,##0")&amp;"M"))</f>
        <v/>
      </c>
      <c r="E81" s="0" t="str">
        <f aca="false">IF('Deal Tracker'!B81="","",IF(AND(F81="",G81=""),"",F81&amp;IF(OR(F81="",G81=""),"","  ·  ")&amp;G81))</f>
        <v/>
      </c>
      <c r="F81" s="0" t="str">
        <f aca="false">IF('Deal Tracker'!F81="",IF('Deal Tracker'!G81="","",'Deal Tracker'!G81),'Deal Tracker'!F81&amp;IF('Deal Tracker'!G81="","",", "&amp;'Deal Tracker'!G81))</f>
        <v/>
      </c>
      <c r="G81" s="0" t="str">
        <f aca="false">IF('Deal Tracker'!H81="","","Target: "&amp;TEXT('Deal Tracker'!H81,"mmm yyyy"))</f>
        <v/>
      </c>
    </row>
    <row r="82" customFormat="false" ht="15" hidden="false" customHeight="false" outlineLevel="0" collapsed="false">
      <c r="A82" s="0" t="str">
        <f aca="false">IF('Deal Tracker'!C82="","",COUNTIF('Deal Tracker'!$C$2:C82,'Deal Tracker'!C82))</f>
        <v/>
      </c>
      <c r="B82" s="0" t="str">
        <f aca="false">IF(A82="","",'Deal Tracker'!C82&amp;"#"&amp;A82)</f>
        <v/>
      </c>
      <c r="C82" s="0" t="str">
        <f aca="false">IF('Deal Tracker'!B82="","",'Deal Tracker'!B82)</f>
        <v/>
      </c>
      <c r="D82" s="0" t="str">
        <f aca="false">IF('Deal Tracker'!B82="","",IF('Deal Tracker'!D82="","TBD","$"&amp;TEXT('Deal Tracker'!D82,"#,##0")&amp;"M"))</f>
        <v/>
      </c>
      <c r="E82" s="0" t="str">
        <f aca="false">IF('Deal Tracker'!B82="","",IF(AND(F82="",G82=""),"",F82&amp;IF(OR(F82="",G82=""),"","  ·  ")&amp;G82))</f>
        <v/>
      </c>
      <c r="F82" s="0" t="str">
        <f aca="false">IF('Deal Tracker'!F82="",IF('Deal Tracker'!G82="","",'Deal Tracker'!G82),'Deal Tracker'!F82&amp;IF('Deal Tracker'!G82="","",", "&amp;'Deal Tracker'!G82))</f>
        <v/>
      </c>
      <c r="G82" s="0" t="str">
        <f aca="false">IF('Deal Tracker'!H82="","","Target: "&amp;TEXT('Deal Tracker'!H82,"mmm yyyy"))</f>
        <v/>
      </c>
    </row>
    <row r="83" customFormat="false" ht="15" hidden="false" customHeight="false" outlineLevel="0" collapsed="false">
      <c r="A83" s="0" t="str">
        <f aca="false">IF('Deal Tracker'!C83="","",COUNTIF('Deal Tracker'!$C$2:C83,'Deal Tracker'!C83))</f>
        <v/>
      </c>
      <c r="B83" s="0" t="str">
        <f aca="false">IF(A83="","",'Deal Tracker'!C83&amp;"#"&amp;A83)</f>
        <v/>
      </c>
      <c r="C83" s="0" t="str">
        <f aca="false">IF('Deal Tracker'!B83="","",'Deal Tracker'!B83)</f>
        <v/>
      </c>
      <c r="D83" s="0" t="str">
        <f aca="false">IF('Deal Tracker'!B83="","",IF('Deal Tracker'!D83="","TBD","$"&amp;TEXT('Deal Tracker'!D83,"#,##0")&amp;"M"))</f>
        <v/>
      </c>
      <c r="E83" s="0" t="str">
        <f aca="false">IF('Deal Tracker'!B83="","",IF(AND(F83="",G83=""),"",F83&amp;IF(OR(F83="",G83=""),"","  ·  ")&amp;G83))</f>
        <v/>
      </c>
      <c r="F83" s="0" t="str">
        <f aca="false">IF('Deal Tracker'!F83="",IF('Deal Tracker'!G83="","",'Deal Tracker'!G83),'Deal Tracker'!F83&amp;IF('Deal Tracker'!G83="","",", "&amp;'Deal Tracker'!G83))</f>
        <v/>
      </c>
      <c r="G83" s="0" t="str">
        <f aca="false">IF('Deal Tracker'!H83="","","Target: "&amp;TEXT('Deal Tracker'!H83,"mmm yyyy"))</f>
        <v/>
      </c>
    </row>
    <row r="84" customFormat="false" ht="15" hidden="false" customHeight="false" outlineLevel="0" collapsed="false">
      <c r="A84" s="0" t="str">
        <f aca="false">IF('Deal Tracker'!C84="","",COUNTIF('Deal Tracker'!$C$2:C84,'Deal Tracker'!C84))</f>
        <v/>
      </c>
      <c r="B84" s="0" t="str">
        <f aca="false">IF(A84="","",'Deal Tracker'!C84&amp;"#"&amp;A84)</f>
        <v/>
      </c>
      <c r="C84" s="0" t="str">
        <f aca="false">IF('Deal Tracker'!B84="","",'Deal Tracker'!B84)</f>
        <v/>
      </c>
      <c r="D84" s="0" t="str">
        <f aca="false">IF('Deal Tracker'!B84="","",IF('Deal Tracker'!D84="","TBD","$"&amp;TEXT('Deal Tracker'!D84,"#,##0")&amp;"M"))</f>
        <v/>
      </c>
      <c r="E84" s="0" t="str">
        <f aca="false">IF('Deal Tracker'!B84="","",IF(AND(F84="",G84=""),"",F84&amp;IF(OR(F84="",G84=""),"","  ·  ")&amp;G84))</f>
        <v/>
      </c>
      <c r="F84" s="0" t="str">
        <f aca="false">IF('Deal Tracker'!F84="",IF('Deal Tracker'!G84="","",'Deal Tracker'!G84),'Deal Tracker'!F84&amp;IF('Deal Tracker'!G84="","",", "&amp;'Deal Tracker'!G84))</f>
        <v/>
      </c>
      <c r="G84" s="0" t="str">
        <f aca="false">IF('Deal Tracker'!H84="","","Target: "&amp;TEXT('Deal Tracker'!H84,"mmm yyyy"))</f>
        <v/>
      </c>
    </row>
    <row r="85" customFormat="false" ht="15" hidden="false" customHeight="false" outlineLevel="0" collapsed="false">
      <c r="A85" s="0" t="str">
        <f aca="false">IF('Deal Tracker'!C85="","",COUNTIF('Deal Tracker'!$C$2:C85,'Deal Tracker'!C85))</f>
        <v/>
      </c>
      <c r="B85" s="0" t="str">
        <f aca="false">IF(A85="","",'Deal Tracker'!C85&amp;"#"&amp;A85)</f>
        <v/>
      </c>
      <c r="C85" s="0" t="str">
        <f aca="false">IF('Deal Tracker'!B85="","",'Deal Tracker'!B85)</f>
        <v/>
      </c>
      <c r="D85" s="0" t="str">
        <f aca="false">IF('Deal Tracker'!B85="","",IF('Deal Tracker'!D85="","TBD","$"&amp;TEXT('Deal Tracker'!D85,"#,##0")&amp;"M"))</f>
        <v/>
      </c>
      <c r="E85" s="0" t="str">
        <f aca="false">IF('Deal Tracker'!B85="","",IF(AND(F85="",G85=""),"",F85&amp;IF(OR(F85="",G85=""),"","  ·  ")&amp;G85))</f>
        <v/>
      </c>
      <c r="F85" s="0" t="str">
        <f aca="false">IF('Deal Tracker'!F85="",IF('Deal Tracker'!G85="","",'Deal Tracker'!G85),'Deal Tracker'!F85&amp;IF('Deal Tracker'!G85="","",", "&amp;'Deal Tracker'!G85))</f>
        <v/>
      </c>
      <c r="G85" s="0" t="str">
        <f aca="false">IF('Deal Tracker'!H85="","","Target: "&amp;TEXT('Deal Tracker'!H85,"mmm yyyy"))</f>
        <v/>
      </c>
    </row>
    <row r="86" customFormat="false" ht="15" hidden="false" customHeight="false" outlineLevel="0" collapsed="false">
      <c r="A86" s="0" t="str">
        <f aca="false">IF('Deal Tracker'!C86="","",COUNTIF('Deal Tracker'!$C$2:C86,'Deal Tracker'!C86))</f>
        <v/>
      </c>
      <c r="B86" s="0" t="str">
        <f aca="false">IF(A86="","",'Deal Tracker'!C86&amp;"#"&amp;A86)</f>
        <v/>
      </c>
      <c r="C86" s="0" t="str">
        <f aca="false">IF('Deal Tracker'!B86="","",'Deal Tracker'!B86)</f>
        <v/>
      </c>
      <c r="D86" s="0" t="str">
        <f aca="false">IF('Deal Tracker'!B86="","",IF('Deal Tracker'!D86="","TBD","$"&amp;TEXT('Deal Tracker'!D86,"#,##0")&amp;"M"))</f>
        <v/>
      </c>
      <c r="E86" s="0" t="str">
        <f aca="false">IF('Deal Tracker'!B86="","",IF(AND(F86="",G86=""),"",F86&amp;IF(OR(F86="",G86=""),"","  ·  ")&amp;G86))</f>
        <v/>
      </c>
      <c r="F86" s="0" t="str">
        <f aca="false">IF('Deal Tracker'!F86="",IF('Deal Tracker'!G86="","",'Deal Tracker'!G86),'Deal Tracker'!F86&amp;IF('Deal Tracker'!G86="","",", "&amp;'Deal Tracker'!G86))</f>
        <v/>
      </c>
      <c r="G86" s="0" t="str">
        <f aca="false">IF('Deal Tracker'!H86="","","Target: "&amp;TEXT('Deal Tracker'!H86,"mmm yyyy"))</f>
        <v/>
      </c>
    </row>
    <row r="87" customFormat="false" ht="15" hidden="false" customHeight="false" outlineLevel="0" collapsed="false">
      <c r="A87" s="0" t="str">
        <f aca="false">IF('Deal Tracker'!C87="","",COUNTIF('Deal Tracker'!$C$2:C87,'Deal Tracker'!C87))</f>
        <v/>
      </c>
      <c r="B87" s="0" t="str">
        <f aca="false">IF(A87="","",'Deal Tracker'!C87&amp;"#"&amp;A87)</f>
        <v/>
      </c>
      <c r="C87" s="0" t="str">
        <f aca="false">IF('Deal Tracker'!B87="","",'Deal Tracker'!B87)</f>
        <v/>
      </c>
      <c r="D87" s="0" t="str">
        <f aca="false">IF('Deal Tracker'!B87="","",IF('Deal Tracker'!D87="","TBD","$"&amp;TEXT('Deal Tracker'!D87,"#,##0")&amp;"M"))</f>
        <v/>
      </c>
      <c r="E87" s="0" t="str">
        <f aca="false">IF('Deal Tracker'!B87="","",IF(AND(F87="",G87=""),"",F87&amp;IF(OR(F87="",G87=""),"","  ·  ")&amp;G87))</f>
        <v/>
      </c>
      <c r="F87" s="0" t="str">
        <f aca="false">IF('Deal Tracker'!F87="",IF('Deal Tracker'!G87="","",'Deal Tracker'!G87),'Deal Tracker'!F87&amp;IF('Deal Tracker'!G87="","",", "&amp;'Deal Tracker'!G87))</f>
        <v/>
      </c>
      <c r="G87" s="0" t="str">
        <f aca="false">IF('Deal Tracker'!H87="","","Target: "&amp;TEXT('Deal Tracker'!H87,"mmm yyyy"))</f>
        <v/>
      </c>
    </row>
    <row r="88" customFormat="false" ht="15" hidden="false" customHeight="false" outlineLevel="0" collapsed="false">
      <c r="A88" s="0" t="str">
        <f aca="false">IF('Deal Tracker'!C88="","",COUNTIF('Deal Tracker'!$C$2:C88,'Deal Tracker'!C88))</f>
        <v/>
      </c>
      <c r="B88" s="0" t="str">
        <f aca="false">IF(A88="","",'Deal Tracker'!C88&amp;"#"&amp;A88)</f>
        <v/>
      </c>
      <c r="C88" s="0" t="str">
        <f aca="false">IF('Deal Tracker'!B88="","",'Deal Tracker'!B88)</f>
        <v/>
      </c>
      <c r="D88" s="0" t="str">
        <f aca="false">IF('Deal Tracker'!B88="","",IF('Deal Tracker'!D88="","TBD","$"&amp;TEXT('Deal Tracker'!D88,"#,##0")&amp;"M"))</f>
        <v/>
      </c>
      <c r="E88" s="0" t="str">
        <f aca="false">IF('Deal Tracker'!B88="","",IF(AND(F88="",G88=""),"",F88&amp;IF(OR(F88="",G88=""),"","  ·  ")&amp;G88))</f>
        <v/>
      </c>
      <c r="F88" s="0" t="str">
        <f aca="false">IF('Deal Tracker'!F88="",IF('Deal Tracker'!G88="","",'Deal Tracker'!G88),'Deal Tracker'!F88&amp;IF('Deal Tracker'!G88="","",", "&amp;'Deal Tracker'!G88))</f>
        <v/>
      </c>
      <c r="G88" s="0" t="str">
        <f aca="false">IF('Deal Tracker'!H88="","","Target: "&amp;TEXT('Deal Tracker'!H88,"mmm yyyy"))</f>
        <v/>
      </c>
    </row>
    <row r="89" customFormat="false" ht="15" hidden="false" customHeight="false" outlineLevel="0" collapsed="false">
      <c r="A89" s="0" t="str">
        <f aca="false">IF('Deal Tracker'!C89="","",COUNTIF('Deal Tracker'!$C$2:C89,'Deal Tracker'!C89))</f>
        <v/>
      </c>
      <c r="B89" s="0" t="str">
        <f aca="false">IF(A89="","",'Deal Tracker'!C89&amp;"#"&amp;A89)</f>
        <v/>
      </c>
      <c r="C89" s="0" t="str">
        <f aca="false">IF('Deal Tracker'!B89="","",'Deal Tracker'!B89)</f>
        <v/>
      </c>
      <c r="D89" s="0" t="str">
        <f aca="false">IF('Deal Tracker'!B89="","",IF('Deal Tracker'!D89="","TBD","$"&amp;TEXT('Deal Tracker'!D89,"#,##0")&amp;"M"))</f>
        <v/>
      </c>
      <c r="E89" s="0" t="str">
        <f aca="false">IF('Deal Tracker'!B89="","",IF(AND(F89="",G89=""),"",F89&amp;IF(OR(F89="",G89=""),"","  ·  ")&amp;G89))</f>
        <v/>
      </c>
      <c r="F89" s="0" t="str">
        <f aca="false">IF('Deal Tracker'!F89="",IF('Deal Tracker'!G89="","",'Deal Tracker'!G89),'Deal Tracker'!F89&amp;IF('Deal Tracker'!G89="","",", "&amp;'Deal Tracker'!G89))</f>
        <v/>
      </c>
      <c r="G89" s="0" t="str">
        <f aca="false">IF('Deal Tracker'!H89="","","Target: "&amp;TEXT('Deal Tracker'!H89,"mmm yyyy"))</f>
        <v/>
      </c>
    </row>
    <row r="90" customFormat="false" ht="15" hidden="false" customHeight="false" outlineLevel="0" collapsed="false">
      <c r="A90" s="0" t="str">
        <f aca="false">IF('Deal Tracker'!C90="","",COUNTIF('Deal Tracker'!$C$2:C90,'Deal Tracker'!C90))</f>
        <v/>
      </c>
      <c r="B90" s="0" t="str">
        <f aca="false">IF(A90="","",'Deal Tracker'!C90&amp;"#"&amp;A90)</f>
        <v/>
      </c>
      <c r="C90" s="0" t="str">
        <f aca="false">IF('Deal Tracker'!B90="","",'Deal Tracker'!B90)</f>
        <v/>
      </c>
      <c r="D90" s="0" t="str">
        <f aca="false">IF('Deal Tracker'!B90="","",IF('Deal Tracker'!D90="","TBD","$"&amp;TEXT('Deal Tracker'!D90,"#,##0")&amp;"M"))</f>
        <v/>
      </c>
      <c r="E90" s="0" t="str">
        <f aca="false">IF('Deal Tracker'!B90="","",IF(AND(F90="",G90=""),"",F90&amp;IF(OR(F90="",G90=""),"","  ·  ")&amp;G90))</f>
        <v/>
      </c>
      <c r="F90" s="0" t="str">
        <f aca="false">IF('Deal Tracker'!F90="",IF('Deal Tracker'!G90="","",'Deal Tracker'!G90),'Deal Tracker'!F90&amp;IF('Deal Tracker'!G90="","",", "&amp;'Deal Tracker'!G90))</f>
        <v/>
      </c>
      <c r="G90" s="0" t="str">
        <f aca="false">IF('Deal Tracker'!H90="","","Target: "&amp;TEXT('Deal Tracker'!H90,"mmm yyyy"))</f>
        <v/>
      </c>
    </row>
    <row r="91" customFormat="false" ht="15" hidden="false" customHeight="false" outlineLevel="0" collapsed="false">
      <c r="A91" s="0" t="str">
        <f aca="false">IF('Deal Tracker'!C91="","",COUNTIF('Deal Tracker'!$C$2:C91,'Deal Tracker'!C91))</f>
        <v/>
      </c>
      <c r="B91" s="0" t="str">
        <f aca="false">IF(A91="","",'Deal Tracker'!C91&amp;"#"&amp;A91)</f>
        <v/>
      </c>
      <c r="C91" s="0" t="str">
        <f aca="false">IF('Deal Tracker'!B91="","",'Deal Tracker'!B91)</f>
        <v/>
      </c>
      <c r="D91" s="0" t="str">
        <f aca="false">IF('Deal Tracker'!B91="","",IF('Deal Tracker'!D91="","TBD","$"&amp;TEXT('Deal Tracker'!D91,"#,##0")&amp;"M"))</f>
        <v/>
      </c>
      <c r="E91" s="0" t="str">
        <f aca="false">IF('Deal Tracker'!B91="","",IF(AND(F91="",G91=""),"",F91&amp;IF(OR(F91="",G91=""),"","  ·  ")&amp;G91))</f>
        <v/>
      </c>
      <c r="F91" s="0" t="str">
        <f aca="false">IF('Deal Tracker'!F91="",IF('Deal Tracker'!G91="","",'Deal Tracker'!G91),'Deal Tracker'!F91&amp;IF('Deal Tracker'!G91="","",", "&amp;'Deal Tracker'!G91))</f>
        <v/>
      </c>
      <c r="G91" s="0" t="str">
        <f aca="false">IF('Deal Tracker'!H91="","","Target: "&amp;TEXT('Deal Tracker'!H91,"mmm yyyy"))</f>
        <v/>
      </c>
    </row>
    <row r="92" customFormat="false" ht="15" hidden="false" customHeight="false" outlineLevel="0" collapsed="false">
      <c r="A92" s="0" t="str">
        <f aca="false">IF('Deal Tracker'!C92="","",COUNTIF('Deal Tracker'!$C$2:C92,'Deal Tracker'!C92))</f>
        <v/>
      </c>
      <c r="B92" s="0" t="str">
        <f aca="false">IF(A92="","",'Deal Tracker'!C92&amp;"#"&amp;A92)</f>
        <v/>
      </c>
      <c r="C92" s="0" t="str">
        <f aca="false">IF('Deal Tracker'!B92="","",'Deal Tracker'!B92)</f>
        <v/>
      </c>
      <c r="D92" s="0" t="str">
        <f aca="false">IF('Deal Tracker'!B92="","",IF('Deal Tracker'!D92="","TBD","$"&amp;TEXT('Deal Tracker'!D92,"#,##0")&amp;"M"))</f>
        <v/>
      </c>
      <c r="E92" s="0" t="str">
        <f aca="false">IF('Deal Tracker'!B92="","",IF(AND(F92="",G92=""),"",F92&amp;IF(OR(F92="",G92=""),"","  ·  ")&amp;G92))</f>
        <v/>
      </c>
      <c r="F92" s="0" t="str">
        <f aca="false">IF('Deal Tracker'!F92="",IF('Deal Tracker'!G92="","",'Deal Tracker'!G92),'Deal Tracker'!F92&amp;IF('Deal Tracker'!G92="","",", "&amp;'Deal Tracker'!G92))</f>
        <v/>
      </c>
      <c r="G92" s="0" t="str">
        <f aca="false">IF('Deal Tracker'!H92="","","Target: "&amp;TEXT('Deal Tracker'!H92,"mmm yyyy"))</f>
        <v/>
      </c>
    </row>
    <row r="93" customFormat="false" ht="15" hidden="false" customHeight="false" outlineLevel="0" collapsed="false">
      <c r="A93" s="0" t="str">
        <f aca="false">IF('Deal Tracker'!C93="","",COUNTIF('Deal Tracker'!$C$2:C93,'Deal Tracker'!C93))</f>
        <v/>
      </c>
      <c r="B93" s="0" t="str">
        <f aca="false">IF(A93="","",'Deal Tracker'!C93&amp;"#"&amp;A93)</f>
        <v/>
      </c>
      <c r="C93" s="0" t="str">
        <f aca="false">IF('Deal Tracker'!B93="","",'Deal Tracker'!B93)</f>
        <v/>
      </c>
      <c r="D93" s="0" t="str">
        <f aca="false">IF('Deal Tracker'!B93="","",IF('Deal Tracker'!D93="","TBD","$"&amp;TEXT('Deal Tracker'!D93,"#,##0")&amp;"M"))</f>
        <v/>
      </c>
      <c r="E93" s="0" t="str">
        <f aca="false">IF('Deal Tracker'!B93="","",IF(AND(F93="",G93=""),"",F93&amp;IF(OR(F93="",G93=""),"","  ·  ")&amp;G93))</f>
        <v/>
      </c>
      <c r="F93" s="0" t="str">
        <f aca="false">IF('Deal Tracker'!F93="",IF('Deal Tracker'!G93="","",'Deal Tracker'!G93),'Deal Tracker'!F93&amp;IF('Deal Tracker'!G93="","",", "&amp;'Deal Tracker'!G93))</f>
        <v/>
      </c>
      <c r="G93" s="0" t="str">
        <f aca="false">IF('Deal Tracker'!H93="","","Target: "&amp;TEXT('Deal Tracker'!H93,"mmm yyyy"))</f>
        <v/>
      </c>
    </row>
    <row r="94" customFormat="false" ht="15" hidden="false" customHeight="false" outlineLevel="0" collapsed="false">
      <c r="A94" s="0" t="str">
        <f aca="false">IF('Deal Tracker'!C94="","",COUNTIF('Deal Tracker'!$C$2:C94,'Deal Tracker'!C94))</f>
        <v/>
      </c>
      <c r="B94" s="0" t="str">
        <f aca="false">IF(A94="","",'Deal Tracker'!C94&amp;"#"&amp;A94)</f>
        <v/>
      </c>
      <c r="C94" s="0" t="str">
        <f aca="false">IF('Deal Tracker'!B94="","",'Deal Tracker'!B94)</f>
        <v/>
      </c>
      <c r="D94" s="0" t="str">
        <f aca="false">IF('Deal Tracker'!B94="","",IF('Deal Tracker'!D94="","TBD","$"&amp;TEXT('Deal Tracker'!D94,"#,##0")&amp;"M"))</f>
        <v/>
      </c>
      <c r="E94" s="0" t="str">
        <f aca="false">IF('Deal Tracker'!B94="","",IF(AND(F94="",G94=""),"",F94&amp;IF(OR(F94="",G94=""),"","  ·  ")&amp;G94))</f>
        <v/>
      </c>
      <c r="F94" s="0" t="str">
        <f aca="false">IF('Deal Tracker'!F94="",IF('Deal Tracker'!G94="","",'Deal Tracker'!G94),'Deal Tracker'!F94&amp;IF('Deal Tracker'!G94="","",", "&amp;'Deal Tracker'!G94))</f>
        <v/>
      </c>
      <c r="G94" s="0" t="str">
        <f aca="false">IF('Deal Tracker'!H94="","","Target: "&amp;TEXT('Deal Tracker'!H94,"mmm yyyy"))</f>
        <v/>
      </c>
    </row>
    <row r="95" customFormat="false" ht="15" hidden="false" customHeight="false" outlineLevel="0" collapsed="false">
      <c r="A95" s="0" t="str">
        <f aca="false">IF('Deal Tracker'!C95="","",COUNTIF('Deal Tracker'!$C$2:C95,'Deal Tracker'!C95))</f>
        <v/>
      </c>
      <c r="B95" s="0" t="str">
        <f aca="false">IF(A95="","",'Deal Tracker'!C95&amp;"#"&amp;A95)</f>
        <v/>
      </c>
      <c r="C95" s="0" t="str">
        <f aca="false">IF('Deal Tracker'!B95="","",'Deal Tracker'!B95)</f>
        <v/>
      </c>
      <c r="D95" s="0" t="str">
        <f aca="false">IF('Deal Tracker'!B95="","",IF('Deal Tracker'!D95="","TBD","$"&amp;TEXT('Deal Tracker'!D95,"#,##0")&amp;"M"))</f>
        <v/>
      </c>
      <c r="E95" s="0" t="str">
        <f aca="false">IF('Deal Tracker'!B95="","",IF(AND(F95="",G95=""),"",F95&amp;IF(OR(F95="",G95=""),"","  ·  ")&amp;G95))</f>
        <v/>
      </c>
      <c r="F95" s="0" t="str">
        <f aca="false">IF('Deal Tracker'!F95="",IF('Deal Tracker'!G95="","",'Deal Tracker'!G95),'Deal Tracker'!F95&amp;IF('Deal Tracker'!G95="","",", "&amp;'Deal Tracker'!G95))</f>
        <v/>
      </c>
      <c r="G95" s="0" t="str">
        <f aca="false">IF('Deal Tracker'!H95="","","Target: "&amp;TEXT('Deal Tracker'!H95,"mmm yyyy"))</f>
        <v/>
      </c>
    </row>
    <row r="96" customFormat="false" ht="15" hidden="false" customHeight="false" outlineLevel="0" collapsed="false">
      <c r="A96" s="0" t="str">
        <f aca="false">IF('Deal Tracker'!C96="","",COUNTIF('Deal Tracker'!$C$2:C96,'Deal Tracker'!C96))</f>
        <v/>
      </c>
      <c r="B96" s="0" t="str">
        <f aca="false">IF(A96="","",'Deal Tracker'!C96&amp;"#"&amp;A96)</f>
        <v/>
      </c>
      <c r="C96" s="0" t="str">
        <f aca="false">IF('Deal Tracker'!B96="","",'Deal Tracker'!B96)</f>
        <v/>
      </c>
      <c r="D96" s="0" t="str">
        <f aca="false">IF('Deal Tracker'!B96="","",IF('Deal Tracker'!D96="","TBD","$"&amp;TEXT('Deal Tracker'!D96,"#,##0")&amp;"M"))</f>
        <v/>
      </c>
      <c r="E96" s="0" t="str">
        <f aca="false">IF('Deal Tracker'!B96="","",IF(AND(F96="",G96=""),"",F96&amp;IF(OR(F96="",G96=""),"","  ·  ")&amp;G96))</f>
        <v/>
      </c>
      <c r="F96" s="0" t="str">
        <f aca="false">IF('Deal Tracker'!F96="",IF('Deal Tracker'!G96="","",'Deal Tracker'!G96),'Deal Tracker'!F96&amp;IF('Deal Tracker'!G96="","",", "&amp;'Deal Tracker'!G96))</f>
        <v/>
      </c>
      <c r="G96" s="0" t="str">
        <f aca="false">IF('Deal Tracker'!H96="","","Target: "&amp;TEXT('Deal Tracker'!H96,"mmm yyyy"))</f>
        <v/>
      </c>
    </row>
    <row r="97" customFormat="false" ht="15" hidden="false" customHeight="false" outlineLevel="0" collapsed="false">
      <c r="A97" s="0" t="str">
        <f aca="false">IF('Deal Tracker'!C97="","",COUNTIF('Deal Tracker'!$C$2:C97,'Deal Tracker'!C97))</f>
        <v/>
      </c>
      <c r="B97" s="0" t="str">
        <f aca="false">IF(A97="","",'Deal Tracker'!C97&amp;"#"&amp;A97)</f>
        <v/>
      </c>
      <c r="C97" s="0" t="str">
        <f aca="false">IF('Deal Tracker'!B97="","",'Deal Tracker'!B97)</f>
        <v/>
      </c>
      <c r="D97" s="0" t="str">
        <f aca="false">IF('Deal Tracker'!B97="","",IF('Deal Tracker'!D97="","TBD","$"&amp;TEXT('Deal Tracker'!D97,"#,##0")&amp;"M"))</f>
        <v/>
      </c>
      <c r="E97" s="0" t="str">
        <f aca="false">IF('Deal Tracker'!B97="","",IF(AND(F97="",G97=""),"",F97&amp;IF(OR(F97="",G97=""),"","  ·  ")&amp;G97))</f>
        <v/>
      </c>
      <c r="F97" s="0" t="str">
        <f aca="false">IF('Deal Tracker'!F97="",IF('Deal Tracker'!G97="","",'Deal Tracker'!G97),'Deal Tracker'!F97&amp;IF('Deal Tracker'!G97="","",", "&amp;'Deal Tracker'!G97))</f>
        <v/>
      </c>
      <c r="G97" s="0" t="str">
        <f aca="false">IF('Deal Tracker'!H97="","","Target: "&amp;TEXT('Deal Tracker'!H97,"mmm yyyy"))</f>
        <v/>
      </c>
    </row>
    <row r="98" customFormat="false" ht="15" hidden="false" customHeight="false" outlineLevel="0" collapsed="false">
      <c r="A98" s="0" t="str">
        <f aca="false">IF('Deal Tracker'!C98="","",COUNTIF('Deal Tracker'!$C$2:C98,'Deal Tracker'!C98))</f>
        <v/>
      </c>
      <c r="B98" s="0" t="str">
        <f aca="false">IF(A98="","",'Deal Tracker'!C98&amp;"#"&amp;A98)</f>
        <v/>
      </c>
      <c r="C98" s="0" t="str">
        <f aca="false">IF('Deal Tracker'!B98="","",'Deal Tracker'!B98)</f>
        <v/>
      </c>
      <c r="D98" s="0" t="str">
        <f aca="false">IF('Deal Tracker'!B98="","",IF('Deal Tracker'!D98="","TBD","$"&amp;TEXT('Deal Tracker'!D98,"#,##0")&amp;"M"))</f>
        <v/>
      </c>
      <c r="E98" s="0" t="str">
        <f aca="false">IF('Deal Tracker'!B98="","",IF(AND(F98="",G98=""),"",F98&amp;IF(OR(F98="",G98=""),"","  ·  ")&amp;G98))</f>
        <v/>
      </c>
      <c r="F98" s="0" t="str">
        <f aca="false">IF('Deal Tracker'!F98="",IF('Deal Tracker'!G98="","",'Deal Tracker'!G98),'Deal Tracker'!F98&amp;IF('Deal Tracker'!G98="","",", "&amp;'Deal Tracker'!G98))</f>
        <v/>
      </c>
      <c r="G98" s="0" t="str">
        <f aca="false">IF('Deal Tracker'!H98="","","Target: "&amp;TEXT('Deal Tracker'!H98,"mmm yyyy"))</f>
        <v/>
      </c>
    </row>
    <row r="99" customFormat="false" ht="15" hidden="false" customHeight="false" outlineLevel="0" collapsed="false">
      <c r="A99" s="0" t="str">
        <f aca="false">IF('Deal Tracker'!C99="","",COUNTIF('Deal Tracker'!$C$2:C99,'Deal Tracker'!C99))</f>
        <v/>
      </c>
      <c r="B99" s="0" t="str">
        <f aca="false">IF(A99="","",'Deal Tracker'!C99&amp;"#"&amp;A99)</f>
        <v/>
      </c>
      <c r="C99" s="0" t="str">
        <f aca="false">IF('Deal Tracker'!B99="","",'Deal Tracker'!B99)</f>
        <v/>
      </c>
      <c r="D99" s="0" t="str">
        <f aca="false">IF('Deal Tracker'!B99="","",IF('Deal Tracker'!D99="","TBD","$"&amp;TEXT('Deal Tracker'!D99,"#,##0")&amp;"M"))</f>
        <v/>
      </c>
      <c r="E99" s="0" t="str">
        <f aca="false">IF('Deal Tracker'!B99="","",IF(AND(F99="",G99=""),"",F99&amp;IF(OR(F99="",G99=""),"","  ·  ")&amp;G99))</f>
        <v/>
      </c>
      <c r="F99" s="0" t="str">
        <f aca="false">IF('Deal Tracker'!F99="",IF('Deal Tracker'!G99="","",'Deal Tracker'!G99),'Deal Tracker'!F99&amp;IF('Deal Tracker'!G99="","",", "&amp;'Deal Tracker'!G99))</f>
        <v/>
      </c>
      <c r="G99" s="0" t="str">
        <f aca="false">IF('Deal Tracker'!H99="","","Target: "&amp;TEXT('Deal Tracker'!H99,"mmm yyyy"))</f>
        <v/>
      </c>
    </row>
    <row r="100" customFormat="false" ht="15" hidden="false" customHeight="false" outlineLevel="0" collapsed="false">
      <c r="A100" s="0" t="str">
        <f aca="false">IF('Deal Tracker'!C100="","",COUNTIF('Deal Tracker'!$C$2:C100,'Deal Tracker'!C100))</f>
        <v/>
      </c>
      <c r="B100" s="0" t="str">
        <f aca="false">IF(A100="","",'Deal Tracker'!C100&amp;"#"&amp;A100)</f>
        <v/>
      </c>
      <c r="C100" s="0" t="str">
        <f aca="false">IF('Deal Tracker'!B100="","",'Deal Tracker'!B100)</f>
        <v/>
      </c>
      <c r="D100" s="0" t="str">
        <f aca="false">IF('Deal Tracker'!B100="","",IF('Deal Tracker'!D100="","TBD","$"&amp;TEXT('Deal Tracker'!D100,"#,##0")&amp;"M"))</f>
        <v/>
      </c>
      <c r="E100" s="0" t="str">
        <f aca="false">IF('Deal Tracker'!B100="","",IF(AND(F100="",G100=""),"",F100&amp;IF(OR(F100="",G100=""),"","  ·  ")&amp;G100))</f>
        <v/>
      </c>
      <c r="F100" s="0" t="str">
        <f aca="false">IF('Deal Tracker'!F100="",IF('Deal Tracker'!G100="","",'Deal Tracker'!G100),'Deal Tracker'!F100&amp;IF('Deal Tracker'!G100="","",", "&amp;'Deal Tracker'!G100))</f>
        <v/>
      </c>
      <c r="G100" s="0" t="str">
        <f aca="false">IF('Deal Tracker'!H100="","","Target: "&amp;TEXT('Deal Tracker'!H100,"mmm yyyy"))</f>
        <v/>
      </c>
    </row>
    <row r="101" customFormat="false" ht="15" hidden="false" customHeight="false" outlineLevel="0" collapsed="false">
      <c r="A101" s="0" t="str">
        <f aca="false">IF('Deal Tracker'!C101="","",COUNTIF('Deal Tracker'!$C$2:C101,'Deal Tracker'!C101))</f>
        <v/>
      </c>
      <c r="B101" s="0" t="str">
        <f aca="false">IF(A101="","",'Deal Tracker'!C101&amp;"#"&amp;A101)</f>
        <v/>
      </c>
      <c r="C101" s="0" t="str">
        <f aca="false">IF('Deal Tracker'!B101="","",'Deal Tracker'!B101)</f>
        <v/>
      </c>
      <c r="D101" s="0" t="str">
        <f aca="false">IF('Deal Tracker'!B101="","",IF('Deal Tracker'!D101="","TBD","$"&amp;TEXT('Deal Tracker'!D101,"#,##0")&amp;"M"))</f>
        <v/>
      </c>
      <c r="E101" s="0" t="str">
        <f aca="false">IF('Deal Tracker'!B101="","",IF(AND(F101="",G101=""),"",F101&amp;IF(OR(F101="",G101=""),"","  ·  ")&amp;G101))</f>
        <v/>
      </c>
      <c r="F101" s="0" t="str">
        <f aca="false">IF('Deal Tracker'!F101="",IF('Deal Tracker'!G101="","",'Deal Tracker'!G101),'Deal Tracker'!F101&amp;IF('Deal Tracker'!G101="","",", "&amp;'Deal Tracker'!G101))</f>
        <v/>
      </c>
      <c r="G101" s="0" t="str">
        <f aca="false">IF('Deal Tracker'!H101="","","Target: "&amp;TEXT('Deal Tracker'!H101,"mmm yyyy"))</f>
        <v/>
      </c>
    </row>
    <row r="102" customFormat="false" ht="15" hidden="false" customHeight="false" outlineLevel="0" collapsed="false">
      <c r="A102" s="0" t="str">
        <f aca="false">IF('Deal Tracker'!C102="","",COUNTIF('Deal Tracker'!$C$2:C102,'Deal Tracker'!C102))</f>
        <v/>
      </c>
      <c r="B102" s="0" t="str">
        <f aca="false">IF(A102="","",'Deal Tracker'!C102&amp;"#"&amp;A102)</f>
        <v/>
      </c>
      <c r="C102" s="0" t="str">
        <f aca="false">IF('Deal Tracker'!B102="","",'Deal Tracker'!B102)</f>
        <v/>
      </c>
      <c r="D102" s="0" t="str">
        <f aca="false">IF('Deal Tracker'!B102="","",IF('Deal Tracker'!D102="","TBD","$"&amp;TEXT('Deal Tracker'!D102,"#,##0")&amp;"M"))</f>
        <v/>
      </c>
      <c r="E102" s="0" t="str">
        <f aca="false">IF('Deal Tracker'!B102="","",IF(AND(F102="",G102=""),"",F102&amp;IF(OR(F102="",G102=""),"","  ·  ")&amp;G102))</f>
        <v/>
      </c>
      <c r="F102" s="0" t="str">
        <f aca="false">IF('Deal Tracker'!F102="",IF('Deal Tracker'!G102="","",'Deal Tracker'!G102),'Deal Tracker'!F102&amp;IF('Deal Tracker'!G102="","",", "&amp;'Deal Tracker'!G102))</f>
        <v/>
      </c>
      <c r="G102" s="0" t="str">
        <f aca="false">IF('Deal Tracker'!H102="","","Target: "&amp;TEXT('Deal Tracker'!H102,"mmm yyyy"))</f>
        <v/>
      </c>
    </row>
    <row r="103" customFormat="false" ht="15" hidden="false" customHeight="false" outlineLevel="0" collapsed="false">
      <c r="A103" s="0" t="str">
        <f aca="false">IF('Deal Tracker'!C103="","",COUNTIF('Deal Tracker'!$C$2:C103,'Deal Tracker'!C103))</f>
        <v/>
      </c>
      <c r="B103" s="0" t="str">
        <f aca="false">IF(A103="","",'Deal Tracker'!C103&amp;"#"&amp;A103)</f>
        <v/>
      </c>
      <c r="C103" s="0" t="str">
        <f aca="false">IF('Deal Tracker'!B103="","",'Deal Tracker'!B103)</f>
        <v/>
      </c>
      <c r="D103" s="0" t="str">
        <f aca="false">IF('Deal Tracker'!B103="","",IF('Deal Tracker'!D103="","TBD","$"&amp;TEXT('Deal Tracker'!D103,"#,##0")&amp;"M"))</f>
        <v/>
      </c>
      <c r="E103" s="0" t="str">
        <f aca="false">IF('Deal Tracker'!B103="","",IF(AND(F103="",G103=""),"",F103&amp;IF(OR(F103="",G103=""),"","  ·  ")&amp;G103))</f>
        <v/>
      </c>
      <c r="F103" s="0" t="str">
        <f aca="false">IF('Deal Tracker'!F103="",IF('Deal Tracker'!G103="","",'Deal Tracker'!G103),'Deal Tracker'!F103&amp;IF('Deal Tracker'!G103="","",", "&amp;'Deal Tracker'!G103))</f>
        <v/>
      </c>
      <c r="G103" s="0" t="str">
        <f aca="false">IF('Deal Tracker'!H103="","","Target: "&amp;TEXT('Deal Tracker'!H103,"mmm yyyy"))</f>
        <v/>
      </c>
    </row>
    <row r="104" customFormat="false" ht="15" hidden="false" customHeight="false" outlineLevel="0" collapsed="false">
      <c r="A104" s="0" t="str">
        <f aca="false">IF('Deal Tracker'!C104="","",COUNTIF('Deal Tracker'!$C$2:C104,'Deal Tracker'!C104))</f>
        <v/>
      </c>
      <c r="B104" s="0" t="str">
        <f aca="false">IF(A104="","",'Deal Tracker'!C104&amp;"#"&amp;A104)</f>
        <v/>
      </c>
      <c r="C104" s="0" t="str">
        <f aca="false">IF('Deal Tracker'!B104="","",'Deal Tracker'!B104)</f>
        <v/>
      </c>
      <c r="D104" s="0" t="str">
        <f aca="false">IF('Deal Tracker'!B104="","",IF('Deal Tracker'!D104="","TBD","$"&amp;TEXT('Deal Tracker'!D104,"#,##0")&amp;"M"))</f>
        <v/>
      </c>
      <c r="E104" s="0" t="str">
        <f aca="false">IF('Deal Tracker'!B104="","",IF(AND(F104="",G104=""),"",F104&amp;IF(OR(F104="",G104=""),"","  ·  ")&amp;G104))</f>
        <v/>
      </c>
      <c r="F104" s="0" t="str">
        <f aca="false">IF('Deal Tracker'!F104="",IF('Deal Tracker'!G104="","",'Deal Tracker'!G104),'Deal Tracker'!F104&amp;IF('Deal Tracker'!G104="","",", "&amp;'Deal Tracker'!G104))</f>
        <v/>
      </c>
      <c r="G104" s="0" t="str">
        <f aca="false">IF('Deal Tracker'!H104="","","Target: "&amp;TEXT('Deal Tracker'!H104,"mmm yyyy"))</f>
        <v/>
      </c>
    </row>
    <row r="105" customFormat="false" ht="15" hidden="false" customHeight="false" outlineLevel="0" collapsed="false">
      <c r="A105" s="0" t="str">
        <f aca="false">IF('Deal Tracker'!C105="","",COUNTIF('Deal Tracker'!$C$2:C105,'Deal Tracker'!C105))</f>
        <v/>
      </c>
      <c r="B105" s="0" t="str">
        <f aca="false">IF(A105="","",'Deal Tracker'!C105&amp;"#"&amp;A105)</f>
        <v/>
      </c>
      <c r="C105" s="0" t="str">
        <f aca="false">IF('Deal Tracker'!B105="","",'Deal Tracker'!B105)</f>
        <v/>
      </c>
      <c r="D105" s="0" t="str">
        <f aca="false">IF('Deal Tracker'!B105="","",IF('Deal Tracker'!D105="","TBD","$"&amp;TEXT('Deal Tracker'!D105,"#,##0")&amp;"M"))</f>
        <v/>
      </c>
      <c r="E105" s="0" t="str">
        <f aca="false">IF('Deal Tracker'!B105="","",IF(AND(F105="",G105=""),"",F105&amp;IF(OR(F105="",G105=""),"","  ·  ")&amp;G105))</f>
        <v/>
      </c>
      <c r="F105" s="0" t="str">
        <f aca="false">IF('Deal Tracker'!F105="",IF('Deal Tracker'!G105="","",'Deal Tracker'!G105),'Deal Tracker'!F105&amp;IF('Deal Tracker'!G105="","",", "&amp;'Deal Tracker'!G105))</f>
        <v/>
      </c>
      <c r="G105" s="0" t="str">
        <f aca="false">IF('Deal Tracker'!H105="","","Target: "&amp;TEXT('Deal Tracker'!H105,"mmm yyyy"))</f>
        <v/>
      </c>
    </row>
    <row r="106" customFormat="false" ht="15" hidden="false" customHeight="false" outlineLevel="0" collapsed="false">
      <c r="A106" s="0" t="str">
        <f aca="false">IF('Deal Tracker'!C106="","",COUNTIF('Deal Tracker'!$C$2:C106,'Deal Tracker'!C106))</f>
        <v/>
      </c>
      <c r="B106" s="0" t="str">
        <f aca="false">IF(A106="","",'Deal Tracker'!C106&amp;"#"&amp;A106)</f>
        <v/>
      </c>
      <c r="C106" s="0" t="str">
        <f aca="false">IF('Deal Tracker'!B106="","",'Deal Tracker'!B106)</f>
        <v/>
      </c>
      <c r="D106" s="0" t="str">
        <f aca="false">IF('Deal Tracker'!B106="","",IF('Deal Tracker'!D106="","TBD","$"&amp;TEXT('Deal Tracker'!D106,"#,##0")&amp;"M"))</f>
        <v/>
      </c>
      <c r="E106" s="0" t="str">
        <f aca="false">IF('Deal Tracker'!B106="","",IF(AND(F106="",G106=""),"",F106&amp;IF(OR(F106="",G106=""),"","  ·  ")&amp;G106))</f>
        <v/>
      </c>
      <c r="F106" s="0" t="str">
        <f aca="false">IF('Deal Tracker'!F106="",IF('Deal Tracker'!G106="","",'Deal Tracker'!G106),'Deal Tracker'!F106&amp;IF('Deal Tracker'!G106="","",", "&amp;'Deal Tracker'!G106))</f>
        <v/>
      </c>
      <c r="G106" s="0" t="str">
        <f aca="false">IF('Deal Tracker'!H106="","","Target: "&amp;TEXT('Deal Tracker'!H106,"mmm yyyy"))</f>
        <v/>
      </c>
    </row>
    <row r="107" customFormat="false" ht="15" hidden="false" customHeight="false" outlineLevel="0" collapsed="false">
      <c r="A107" s="0" t="str">
        <f aca="false">IF('Deal Tracker'!C107="","",COUNTIF('Deal Tracker'!$C$2:C107,'Deal Tracker'!C107))</f>
        <v/>
      </c>
      <c r="B107" s="0" t="str">
        <f aca="false">IF(A107="","",'Deal Tracker'!C107&amp;"#"&amp;A107)</f>
        <v/>
      </c>
      <c r="C107" s="0" t="str">
        <f aca="false">IF('Deal Tracker'!B107="","",'Deal Tracker'!B107)</f>
        <v/>
      </c>
      <c r="D107" s="0" t="str">
        <f aca="false">IF('Deal Tracker'!B107="","",IF('Deal Tracker'!D107="","TBD","$"&amp;TEXT('Deal Tracker'!D107,"#,##0")&amp;"M"))</f>
        <v/>
      </c>
      <c r="E107" s="0" t="str">
        <f aca="false">IF('Deal Tracker'!B107="","",IF(AND(F107="",G107=""),"",F107&amp;IF(OR(F107="",G107=""),"","  ·  ")&amp;G107))</f>
        <v/>
      </c>
      <c r="F107" s="0" t="str">
        <f aca="false">IF('Deal Tracker'!F107="",IF('Deal Tracker'!G107="","",'Deal Tracker'!G107),'Deal Tracker'!F107&amp;IF('Deal Tracker'!G107="","",", "&amp;'Deal Tracker'!G107))</f>
        <v/>
      </c>
      <c r="G107" s="0" t="str">
        <f aca="false">IF('Deal Tracker'!H107="","","Target: "&amp;TEXT('Deal Tracker'!H107,"mmm yyyy"))</f>
        <v/>
      </c>
    </row>
    <row r="108" customFormat="false" ht="15" hidden="false" customHeight="false" outlineLevel="0" collapsed="false">
      <c r="A108" s="0" t="str">
        <f aca="false">IF('Deal Tracker'!C108="","",COUNTIF('Deal Tracker'!$C$2:C108,'Deal Tracker'!C108))</f>
        <v/>
      </c>
      <c r="B108" s="0" t="str">
        <f aca="false">IF(A108="","",'Deal Tracker'!C108&amp;"#"&amp;A108)</f>
        <v/>
      </c>
      <c r="C108" s="0" t="str">
        <f aca="false">IF('Deal Tracker'!B108="","",'Deal Tracker'!B108)</f>
        <v/>
      </c>
      <c r="D108" s="0" t="str">
        <f aca="false">IF('Deal Tracker'!B108="","",IF('Deal Tracker'!D108="","TBD","$"&amp;TEXT('Deal Tracker'!D108,"#,##0")&amp;"M"))</f>
        <v/>
      </c>
      <c r="E108" s="0" t="str">
        <f aca="false">IF('Deal Tracker'!B108="","",IF(AND(F108="",G108=""),"",F108&amp;IF(OR(F108="",G108=""),"","  ·  ")&amp;G108))</f>
        <v/>
      </c>
      <c r="F108" s="0" t="str">
        <f aca="false">IF('Deal Tracker'!F108="",IF('Deal Tracker'!G108="","",'Deal Tracker'!G108),'Deal Tracker'!F108&amp;IF('Deal Tracker'!G108="","",", "&amp;'Deal Tracker'!G108))</f>
        <v/>
      </c>
      <c r="G108" s="0" t="str">
        <f aca="false">IF('Deal Tracker'!H108="","","Target: "&amp;TEXT('Deal Tracker'!H108,"mmm yyyy"))</f>
        <v/>
      </c>
    </row>
    <row r="109" customFormat="false" ht="15" hidden="false" customHeight="false" outlineLevel="0" collapsed="false">
      <c r="A109" s="0" t="str">
        <f aca="false">IF('Deal Tracker'!C109="","",COUNTIF('Deal Tracker'!$C$2:C109,'Deal Tracker'!C109))</f>
        <v/>
      </c>
      <c r="B109" s="0" t="str">
        <f aca="false">IF(A109="","",'Deal Tracker'!C109&amp;"#"&amp;A109)</f>
        <v/>
      </c>
      <c r="C109" s="0" t="str">
        <f aca="false">IF('Deal Tracker'!B109="","",'Deal Tracker'!B109)</f>
        <v/>
      </c>
      <c r="D109" s="0" t="str">
        <f aca="false">IF('Deal Tracker'!B109="","",IF('Deal Tracker'!D109="","TBD","$"&amp;TEXT('Deal Tracker'!D109,"#,##0")&amp;"M"))</f>
        <v/>
      </c>
      <c r="E109" s="0" t="str">
        <f aca="false">IF('Deal Tracker'!B109="","",IF(AND(F109="",G109=""),"",F109&amp;IF(OR(F109="",G109=""),"","  ·  ")&amp;G109))</f>
        <v/>
      </c>
      <c r="F109" s="0" t="str">
        <f aca="false">IF('Deal Tracker'!F109="",IF('Deal Tracker'!G109="","",'Deal Tracker'!G109),'Deal Tracker'!F109&amp;IF('Deal Tracker'!G109="","",", "&amp;'Deal Tracker'!G109))</f>
        <v/>
      </c>
      <c r="G109" s="0" t="str">
        <f aca="false">IF('Deal Tracker'!H109="","","Target: "&amp;TEXT('Deal Tracker'!H109,"mmm yyyy"))</f>
        <v/>
      </c>
    </row>
    <row r="110" customFormat="false" ht="15" hidden="false" customHeight="false" outlineLevel="0" collapsed="false">
      <c r="A110" s="0" t="str">
        <f aca="false">IF('Deal Tracker'!C110="","",COUNTIF('Deal Tracker'!$C$2:C110,'Deal Tracker'!C110))</f>
        <v/>
      </c>
      <c r="B110" s="0" t="str">
        <f aca="false">IF(A110="","",'Deal Tracker'!C110&amp;"#"&amp;A110)</f>
        <v/>
      </c>
      <c r="C110" s="0" t="str">
        <f aca="false">IF('Deal Tracker'!B110="","",'Deal Tracker'!B110)</f>
        <v/>
      </c>
      <c r="D110" s="0" t="str">
        <f aca="false">IF('Deal Tracker'!B110="","",IF('Deal Tracker'!D110="","TBD","$"&amp;TEXT('Deal Tracker'!D110,"#,##0")&amp;"M"))</f>
        <v/>
      </c>
      <c r="E110" s="0" t="str">
        <f aca="false">IF('Deal Tracker'!B110="","",IF(AND(F110="",G110=""),"",F110&amp;IF(OR(F110="",G110=""),"","  ·  ")&amp;G110))</f>
        <v/>
      </c>
      <c r="F110" s="0" t="str">
        <f aca="false">IF('Deal Tracker'!F110="",IF('Deal Tracker'!G110="","",'Deal Tracker'!G110),'Deal Tracker'!F110&amp;IF('Deal Tracker'!G110="","",", "&amp;'Deal Tracker'!G110))</f>
        <v/>
      </c>
      <c r="G110" s="0" t="str">
        <f aca="false">IF('Deal Tracker'!H110="","","Target: "&amp;TEXT('Deal Tracker'!H110,"mmm yyyy"))</f>
        <v/>
      </c>
    </row>
    <row r="111" customFormat="false" ht="15" hidden="false" customHeight="false" outlineLevel="0" collapsed="false">
      <c r="A111" s="0" t="str">
        <f aca="false">IF('Deal Tracker'!C111="","",COUNTIF('Deal Tracker'!$C$2:C111,'Deal Tracker'!C111))</f>
        <v/>
      </c>
      <c r="B111" s="0" t="str">
        <f aca="false">IF(A111="","",'Deal Tracker'!C111&amp;"#"&amp;A111)</f>
        <v/>
      </c>
      <c r="C111" s="0" t="str">
        <f aca="false">IF('Deal Tracker'!B111="","",'Deal Tracker'!B111)</f>
        <v/>
      </c>
      <c r="D111" s="0" t="str">
        <f aca="false">IF('Deal Tracker'!B111="","",IF('Deal Tracker'!D111="","TBD","$"&amp;TEXT('Deal Tracker'!D111,"#,##0")&amp;"M"))</f>
        <v/>
      </c>
      <c r="E111" s="0" t="str">
        <f aca="false">IF('Deal Tracker'!B111="","",IF(AND(F111="",G111=""),"",F111&amp;IF(OR(F111="",G111=""),"","  ·  ")&amp;G111))</f>
        <v/>
      </c>
      <c r="F111" s="0" t="str">
        <f aca="false">IF('Deal Tracker'!F111="",IF('Deal Tracker'!G111="","",'Deal Tracker'!G111),'Deal Tracker'!F111&amp;IF('Deal Tracker'!G111="","",", "&amp;'Deal Tracker'!G111))</f>
        <v/>
      </c>
      <c r="G111" s="0" t="str">
        <f aca="false">IF('Deal Tracker'!H111="","","Target: "&amp;TEXT('Deal Tracker'!H111,"mmm yyyy"))</f>
        <v/>
      </c>
    </row>
    <row r="112" customFormat="false" ht="15" hidden="false" customHeight="false" outlineLevel="0" collapsed="false">
      <c r="A112" s="0" t="str">
        <f aca="false">IF('Deal Tracker'!C112="","",COUNTIF('Deal Tracker'!$C$2:C112,'Deal Tracker'!C112))</f>
        <v/>
      </c>
      <c r="B112" s="0" t="str">
        <f aca="false">IF(A112="","",'Deal Tracker'!C112&amp;"#"&amp;A112)</f>
        <v/>
      </c>
      <c r="C112" s="0" t="str">
        <f aca="false">IF('Deal Tracker'!B112="","",'Deal Tracker'!B112)</f>
        <v/>
      </c>
      <c r="D112" s="0" t="str">
        <f aca="false">IF('Deal Tracker'!B112="","",IF('Deal Tracker'!D112="","TBD","$"&amp;TEXT('Deal Tracker'!D112,"#,##0")&amp;"M"))</f>
        <v/>
      </c>
      <c r="E112" s="0" t="str">
        <f aca="false">IF('Deal Tracker'!B112="","",IF(AND(F112="",G112=""),"",F112&amp;IF(OR(F112="",G112=""),"","  ·  ")&amp;G112))</f>
        <v/>
      </c>
      <c r="F112" s="0" t="str">
        <f aca="false">IF('Deal Tracker'!F112="",IF('Deal Tracker'!G112="","",'Deal Tracker'!G112),'Deal Tracker'!F112&amp;IF('Deal Tracker'!G112="","",", "&amp;'Deal Tracker'!G112))</f>
        <v/>
      </c>
      <c r="G112" s="0" t="str">
        <f aca="false">IF('Deal Tracker'!H112="","","Target: "&amp;TEXT('Deal Tracker'!H112,"mmm yyyy"))</f>
        <v/>
      </c>
    </row>
    <row r="113" customFormat="false" ht="15" hidden="false" customHeight="false" outlineLevel="0" collapsed="false">
      <c r="A113" s="0" t="str">
        <f aca="false">IF('Deal Tracker'!C113="","",COUNTIF('Deal Tracker'!$C$2:C113,'Deal Tracker'!C113))</f>
        <v/>
      </c>
      <c r="B113" s="0" t="str">
        <f aca="false">IF(A113="","",'Deal Tracker'!C113&amp;"#"&amp;A113)</f>
        <v/>
      </c>
      <c r="C113" s="0" t="str">
        <f aca="false">IF('Deal Tracker'!B113="","",'Deal Tracker'!B113)</f>
        <v/>
      </c>
      <c r="D113" s="0" t="str">
        <f aca="false">IF('Deal Tracker'!B113="","",IF('Deal Tracker'!D113="","TBD","$"&amp;TEXT('Deal Tracker'!D113,"#,##0")&amp;"M"))</f>
        <v/>
      </c>
      <c r="E113" s="0" t="str">
        <f aca="false">IF('Deal Tracker'!B113="","",IF(AND(F113="",G113=""),"",F113&amp;IF(OR(F113="",G113=""),"","  ·  ")&amp;G113))</f>
        <v/>
      </c>
      <c r="F113" s="0" t="str">
        <f aca="false">IF('Deal Tracker'!F113="",IF('Deal Tracker'!G113="","",'Deal Tracker'!G113),'Deal Tracker'!F113&amp;IF('Deal Tracker'!G113="","",", "&amp;'Deal Tracker'!G113))</f>
        <v/>
      </c>
      <c r="G113" s="0" t="str">
        <f aca="false">IF('Deal Tracker'!H113="","","Target: "&amp;TEXT('Deal Tracker'!H113,"mmm yyyy"))</f>
        <v/>
      </c>
    </row>
    <row r="114" customFormat="false" ht="15" hidden="false" customHeight="false" outlineLevel="0" collapsed="false">
      <c r="A114" s="0" t="str">
        <f aca="false">IF('Deal Tracker'!C114="","",COUNTIF('Deal Tracker'!$C$2:C114,'Deal Tracker'!C114))</f>
        <v/>
      </c>
      <c r="B114" s="0" t="str">
        <f aca="false">IF(A114="","",'Deal Tracker'!C114&amp;"#"&amp;A114)</f>
        <v/>
      </c>
      <c r="C114" s="0" t="str">
        <f aca="false">IF('Deal Tracker'!B114="","",'Deal Tracker'!B114)</f>
        <v/>
      </c>
      <c r="D114" s="0" t="str">
        <f aca="false">IF('Deal Tracker'!B114="","",IF('Deal Tracker'!D114="","TBD","$"&amp;TEXT('Deal Tracker'!D114,"#,##0")&amp;"M"))</f>
        <v/>
      </c>
      <c r="E114" s="0" t="str">
        <f aca="false">IF('Deal Tracker'!B114="","",IF(AND(F114="",G114=""),"",F114&amp;IF(OR(F114="",G114=""),"","  ·  ")&amp;G114))</f>
        <v/>
      </c>
      <c r="F114" s="0" t="str">
        <f aca="false">IF('Deal Tracker'!F114="",IF('Deal Tracker'!G114="","",'Deal Tracker'!G114),'Deal Tracker'!F114&amp;IF('Deal Tracker'!G114="","",", "&amp;'Deal Tracker'!G114))</f>
        <v/>
      </c>
      <c r="G114" s="0" t="str">
        <f aca="false">IF('Deal Tracker'!H114="","","Target: "&amp;TEXT('Deal Tracker'!H114,"mmm yyyy"))</f>
        <v/>
      </c>
    </row>
    <row r="115" customFormat="false" ht="15" hidden="false" customHeight="false" outlineLevel="0" collapsed="false">
      <c r="A115" s="0" t="str">
        <f aca="false">IF('Deal Tracker'!C115="","",COUNTIF('Deal Tracker'!$C$2:C115,'Deal Tracker'!C115))</f>
        <v/>
      </c>
      <c r="B115" s="0" t="str">
        <f aca="false">IF(A115="","",'Deal Tracker'!C115&amp;"#"&amp;A115)</f>
        <v/>
      </c>
      <c r="C115" s="0" t="str">
        <f aca="false">IF('Deal Tracker'!B115="","",'Deal Tracker'!B115)</f>
        <v/>
      </c>
      <c r="D115" s="0" t="str">
        <f aca="false">IF('Deal Tracker'!B115="","",IF('Deal Tracker'!D115="","TBD","$"&amp;TEXT('Deal Tracker'!D115,"#,##0")&amp;"M"))</f>
        <v/>
      </c>
      <c r="E115" s="0" t="str">
        <f aca="false">IF('Deal Tracker'!B115="","",IF(AND(F115="",G115=""),"",F115&amp;IF(OR(F115="",G115=""),"","  ·  ")&amp;G115))</f>
        <v/>
      </c>
      <c r="F115" s="0" t="str">
        <f aca="false">IF('Deal Tracker'!F115="",IF('Deal Tracker'!G115="","",'Deal Tracker'!G115),'Deal Tracker'!F115&amp;IF('Deal Tracker'!G115="","",", "&amp;'Deal Tracker'!G115))</f>
        <v/>
      </c>
      <c r="G115" s="0" t="str">
        <f aca="false">IF('Deal Tracker'!H115="","","Target: "&amp;TEXT('Deal Tracker'!H115,"mmm yyyy"))</f>
        <v/>
      </c>
    </row>
    <row r="116" customFormat="false" ht="15" hidden="false" customHeight="false" outlineLevel="0" collapsed="false">
      <c r="A116" s="0" t="str">
        <f aca="false">IF('Deal Tracker'!C116="","",COUNTIF('Deal Tracker'!$C$2:C116,'Deal Tracker'!C116))</f>
        <v/>
      </c>
      <c r="B116" s="0" t="str">
        <f aca="false">IF(A116="","",'Deal Tracker'!C116&amp;"#"&amp;A116)</f>
        <v/>
      </c>
      <c r="C116" s="0" t="str">
        <f aca="false">IF('Deal Tracker'!B116="","",'Deal Tracker'!B116)</f>
        <v/>
      </c>
      <c r="D116" s="0" t="str">
        <f aca="false">IF('Deal Tracker'!B116="","",IF('Deal Tracker'!D116="","TBD","$"&amp;TEXT('Deal Tracker'!D116,"#,##0")&amp;"M"))</f>
        <v/>
      </c>
      <c r="E116" s="0" t="str">
        <f aca="false">IF('Deal Tracker'!B116="","",IF(AND(F116="",G116=""),"",F116&amp;IF(OR(F116="",G116=""),"","  ·  ")&amp;G116))</f>
        <v/>
      </c>
      <c r="F116" s="0" t="str">
        <f aca="false">IF('Deal Tracker'!F116="",IF('Deal Tracker'!G116="","",'Deal Tracker'!G116),'Deal Tracker'!F116&amp;IF('Deal Tracker'!G116="","",", "&amp;'Deal Tracker'!G116))</f>
        <v/>
      </c>
      <c r="G116" s="0" t="str">
        <f aca="false">IF('Deal Tracker'!H116="","","Target: "&amp;TEXT('Deal Tracker'!H116,"mmm yyyy"))</f>
        <v/>
      </c>
    </row>
    <row r="117" customFormat="false" ht="15" hidden="false" customHeight="false" outlineLevel="0" collapsed="false">
      <c r="A117" s="0" t="str">
        <f aca="false">IF('Deal Tracker'!C117="","",COUNTIF('Deal Tracker'!$C$2:C117,'Deal Tracker'!C117))</f>
        <v/>
      </c>
      <c r="B117" s="0" t="str">
        <f aca="false">IF(A117="","",'Deal Tracker'!C117&amp;"#"&amp;A117)</f>
        <v/>
      </c>
      <c r="C117" s="0" t="str">
        <f aca="false">IF('Deal Tracker'!B117="","",'Deal Tracker'!B117)</f>
        <v/>
      </c>
      <c r="D117" s="0" t="str">
        <f aca="false">IF('Deal Tracker'!B117="","",IF('Deal Tracker'!D117="","TBD","$"&amp;TEXT('Deal Tracker'!D117,"#,##0")&amp;"M"))</f>
        <v/>
      </c>
      <c r="E117" s="0" t="str">
        <f aca="false">IF('Deal Tracker'!B117="","",IF(AND(F117="",G117=""),"",F117&amp;IF(OR(F117="",G117=""),"","  ·  ")&amp;G117))</f>
        <v/>
      </c>
      <c r="F117" s="0" t="str">
        <f aca="false">IF('Deal Tracker'!F117="",IF('Deal Tracker'!G117="","",'Deal Tracker'!G117),'Deal Tracker'!F117&amp;IF('Deal Tracker'!G117="","",", "&amp;'Deal Tracker'!G117))</f>
        <v/>
      </c>
      <c r="G117" s="0" t="str">
        <f aca="false">IF('Deal Tracker'!H117="","","Target: "&amp;TEXT('Deal Tracker'!H117,"mmm yyyy"))</f>
        <v/>
      </c>
    </row>
    <row r="118" customFormat="false" ht="15" hidden="false" customHeight="false" outlineLevel="0" collapsed="false">
      <c r="A118" s="0" t="str">
        <f aca="false">IF('Deal Tracker'!C118="","",COUNTIF('Deal Tracker'!$C$2:C118,'Deal Tracker'!C118))</f>
        <v/>
      </c>
      <c r="B118" s="0" t="str">
        <f aca="false">IF(A118="","",'Deal Tracker'!C118&amp;"#"&amp;A118)</f>
        <v/>
      </c>
      <c r="C118" s="0" t="str">
        <f aca="false">IF('Deal Tracker'!B118="","",'Deal Tracker'!B118)</f>
        <v/>
      </c>
      <c r="D118" s="0" t="str">
        <f aca="false">IF('Deal Tracker'!B118="","",IF('Deal Tracker'!D118="","TBD","$"&amp;TEXT('Deal Tracker'!D118,"#,##0")&amp;"M"))</f>
        <v/>
      </c>
      <c r="E118" s="0" t="str">
        <f aca="false">IF('Deal Tracker'!B118="","",IF(AND(F118="",G118=""),"",F118&amp;IF(OR(F118="",G118=""),"","  ·  ")&amp;G118))</f>
        <v/>
      </c>
      <c r="F118" s="0" t="str">
        <f aca="false">IF('Deal Tracker'!F118="",IF('Deal Tracker'!G118="","",'Deal Tracker'!G118),'Deal Tracker'!F118&amp;IF('Deal Tracker'!G118="","",", "&amp;'Deal Tracker'!G118))</f>
        <v/>
      </c>
      <c r="G118" s="0" t="str">
        <f aca="false">IF('Deal Tracker'!H118="","","Target: "&amp;TEXT('Deal Tracker'!H118,"mmm yyyy"))</f>
        <v/>
      </c>
    </row>
    <row r="119" customFormat="false" ht="15" hidden="false" customHeight="false" outlineLevel="0" collapsed="false">
      <c r="A119" s="0" t="str">
        <f aca="false">IF('Deal Tracker'!C119="","",COUNTIF('Deal Tracker'!$C$2:C119,'Deal Tracker'!C119))</f>
        <v/>
      </c>
      <c r="B119" s="0" t="str">
        <f aca="false">IF(A119="","",'Deal Tracker'!C119&amp;"#"&amp;A119)</f>
        <v/>
      </c>
      <c r="C119" s="0" t="str">
        <f aca="false">IF('Deal Tracker'!B119="","",'Deal Tracker'!B119)</f>
        <v/>
      </c>
      <c r="D119" s="0" t="str">
        <f aca="false">IF('Deal Tracker'!B119="","",IF('Deal Tracker'!D119="","TBD","$"&amp;TEXT('Deal Tracker'!D119,"#,##0")&amp;"M"))</f>
        <v/>
      </c>
      <c r="E119" s="0" t="str">
        <f aca="false">IF('Deal Tracker'!B119="","",IF(AND(F119="",G119=""),"",F119&amp;IF(OR(F119="",G119=""),"","  ·  ")&amp;G119))</f>
        <v/>
      </c>
      <c r="F119" s="0" t="str">
        <f aca="false">IF('Deal Tracker'!F119="",IF('Deal Tracker'!G119="","",'Deal Tracker'!G119),'Deal Tracker'!F119&amp;IF('Deal Tracker'!G119="","",", "&amp;'Deal Tracker'!G119))</f>
        <v/>
      </c>
      <c r="G119" s="0" t="str">
        <f aca="false">IF('Deal Tracker'!H119="","","Target: "&amp;TEXT('Deal Tracker'!H119,"mmm yyyy"))</f>
        <v/>
      </c>
    </row>
    <row r="120" customFormat="false" ht="15" hidden="false" customHeight="false" outlineLevel="0" collapsed="false">
      <c r="A120" s="0" t="str">
        <f aca="false">IF('Deal Tracker'!C120="","",COUNTIF('Deal Tracker'!$C$2:C120,'Deal Tracker'!C120))</f>
        <v/>
      </c>
      <c r="B120" s="0" t="str">
        <f aca="false">IF(A120="","",'Deal Tracker'!C120&amp;"#"&amp;A120)</f>
        <v/>
      </c>
      <c r="C120" s="0" t="str">
        <f aca="false">IF('Deal Tracker'!B120="","",'Deal Tracker'!B120)</f>
        <v/>
      </c>
      <c r="D120" s="0" t="str">
        <f aca="false">IF('Deal Tracker'!B120="","",IF('Deal Tracker'!D120="","TBD","$"&amp;TEXT('Deal Tracker'!D120,"#,##0")&amp;"M"))</f>
        <v/>
      </c>
      <c r="E120" s="0" t="str">
        <f aca="false">IF('Deal Tracker'!B120="","",IF(AND(F120="",G120=""),"",F120&amp;IF(OR(F120="",G120=""),"","  ·  ")&amp;G120))</f>
        <v/>
      </c>
      <c r="F120" s="0" t="str">
        <f aca="false">IF('Deal Tracker'!F120="",IF('Deal Tracker'!G120="","",'Deal Tracker'!G120),'Deal Tracker'!F120&amp;IF('Deal Tracker'!G120="","",", "&amp;'Deal Tracker'!G120))</f>
        <v/>
      </c>
      <c r="G120" s="0" t="str">
        <f aca="false">IF('Deal Tracker'!H120="","","Target: "&amp;TEXT('Deal Tracker'!H120,"mmm yyyy"))</f>
        <v/>
      </c>
    </row>
    <row r="121" customFormat="false" ht="15" hidden="false" customHeight="false" outlineLevel="0" collapsed="false">
      <c r="A121" s="0" t="str">
        <f aca="false">IF('Deal Tracker'!C121="","",COUNTIF('Deal Tracker'!$C$2:C121,'Deal Tracker'!C121))</f>
        <v/>
      </c>
      <c r="B121" s="0" t="str">
        <f aca="false">IF(A121="","",'Deal Tracker'!C121&amp;"#"&amp;A121)</f>
        <v/>
      </c>
      <c r="C121" s="0" t="str">
        <f aca="false">IF('Deal Tracker'!B121="","",'Deal Tracker'!B121)</f>
        <v/>
      </c>
      <c r="D121" s="0" t="str">
        <f aca="false">IF('Deal Tracker'!B121="","",IF('Deal Tracker'!D121="","TBD","$"&amp;TEXT('Deal Tracker'!D121,"#,##0")&amp;"M"))</f>
        <v/>
      </c>
      <c r="E121" s="0" t="str">
        <f aca="false">IF('Deal Tracker'!B121="","",IF(AND(F121="",G121=""),"",F121&amp;IF(OR(F121="",G121=""),"","  ·  ")&amp;G121))</f>
        <v/>
      </c>
      <c r="F121" s="0" t="str">
        <f aca="false">IF('Deal Tracker'!F121="",IF('Deal Tracker'!G121="","",'Deal Tracker'!G121),'Deal Tracker'!F121&amp;IF('Deal Tracker'!G121="","",", "&amp;'Deal Tracker'!G121))</f>
        <v/>
      </c>
      <c r="G121" s="0" t="str">
        <f aca="false">IF('Deal Tracker'!H121="","","Target: "&amp;TEXT('Deal Tracker'!H121,"mmm yyyy"))</f>
        <v/>
      </c>
    </row>
    <row r="122" customFormat="false" ht="15" hidden="false" customHeight="false" outlineLevel="0" collapsed="false">
      <c r="A122" s="0" t="str">
        <f aca="false">IF('Deal Tracker'!C122="","",COUNTIF('Deal Tracker'!$C$2:C122,'Deal Tracker'!C122))</f>
        <v/>
      </c>
      <c r="B122" s="0" t="str">
        <f aca="false">IF(A122="","",'Deal Tracker'!C122&amp;"#"&amp;A122)</f>
        <v/>
      </c>
      <c r="C122" s="0" t="str">
        <f aca="false">IF('Deal Tracker'!B122="","",'Deal Tracker'!B122)</f>
        <v/>
      </c>
      <c r="D122" s="0" t="str">
        <f aca="false">IF('Deal Tracker'!B122="","",IF('Deal Tracker'!D122="","TBD","$"&amp;TEXT('Deal Tracker'!D122,"#,##0")&amp;"M"))</f>
        <v/>
      </c>
      <c r="E122" s="0" t="str">
        <f aca="false">IF('Deal Tracker'!B122="","",IF(AND(F122="",G122=""),"",F122&amp;IF(OR(F122="",G122=""),"","  ·  ")&amp;G122))</f>
        <v/>
      </c>
      <c r="F122" s="0" t="str">
        <f aca="false">IF('Deal Tracker'!F122="",IF('Deal Tracker'!G122="","",'Deal Tracker'!G122),'Deal Tracker'!F122&amp;IF('Deal Tracker'!G122="","",", "&amp;'Deal Tracker'!G122))</f>
        <v/>
      </c>
      <c r="G122" s="0" t="str">
        <f aca="false">IF('Deal Tracker'!H122="","","Target: "&amp;TEXT('Deal Tracker'!H122,"mmm yyyy"))</f>
        <v/>
      </c>
    </row>
    <row r="123" customFormat="false" ht="15" hidden="false" customHeight="false" outlineLevel="0" collapsed="false">
      <c r="A123" s="0" t="str">
        <f aca="false">IF('Deal Tracker'!C123="","",COUNTIF('Deal Tracker'!$C$2:C123,'Deal Tracker'!C123))</f>
        <v/>
      </c>
      <c r="B123" s="0" t="str">
        <f aca="false">IF(A123="","",'Deal Tracker'!C123&amp;"#"&amp;A123)</f>
        <v/>
      </c>
      <c r="C123" s="0" t="str">
        <f aca="false">IF('Deal Tracker'!B123="","",'Deal Tracker'!B123)</f>
        <v/>
      </c>
      <c r="D123" s="0" t="str">
        <f aca="false">IF('Deal Tracker'!B123="","",IF('Deal Tracker'!D123="","TBD","$"&amp;TEXT('Deal Tracker'!D123,"#,##0")&amp;"M"))</f>
        <v/>
      </c>
      <c r="E123" s="0" t="str">
        <f aca="false">IF('Deal Tracker'!B123="","",IF(AND(F123="",G123=""),"",F123&amp;IF(OR(F123="",G123=""),"","  ·  ")&amp;G123))</f>
        <v/>
      </c>
      <c r="F123" s="0" t="str">
        <f aca="false">IF('Deal Tracker'!F123="",IF('Deal Tracker'!G123="","",'Deal Tracker'!G123),'Deal Tracker'!F123&amp;IF('Deal Tracker'!G123="","",", "&amp;'Deal Tracker'!G123))</f>
        <v/>
      </c>
      <c r="G123" s="0" t="str">
        <f aca="false">IF('Deal Tracker'!H123="","","Target: "&amp;TEXT('Deal Tracker'!H123,"mmm yyyy"))</f>
        <v/>
      </c>
    </row>
    <row r="124" customFormat="false" ht="15" hidden="false" customHeight="false" outlineLevel="0" collapsed="false">
      <c r="A124" s="0" t="str">
        <f aca="false">IF('Deal Tracker'!C124="","",COUNTIF('Deal Tracker'!$C$2:C124,'Deal Tracker'!C124))</f>
        <v/>
      </c>
      <c r="B124" s="0" t="str">
        <f aca="false">IF(A124="","",'Deal Tracker'!C124&amp;"#"&amp;A124)</f>
        <v/>
      </c>
      <c r="C124" s="0" t="str">
        <f aca="false">IF('Deal Tracker'!B124="","",'Deal Tracker'!B124)</f>
        <v/>
      </c>
      <c r="D124" s="0" t="str">
        <f aca="false">IF('Deal Tracker'!B124="","",IF('Deal Tracker'!D124="","TBD","$"&amp;TEXT('Deal Tracker'!D124,"#,##0")&amp;"M"))</f>
        <v/>
      </c>
      <c r="E124" s="0" t="str">
        <f aca="false">IF('Deal Tracker'!B124="","",IF(AND(F124="",G124=""),"",F124&amp;IF(OR(F124="",G124=""),"","  ·  ")&amp;G124))</f>
        <v/>
      </c>
      <c r="F124" s="0" t="str">
        <f aca="false">IF('Deal Tracker'!F124="",IF('Deal Tracker'!G124="","",'Deal Tracker'!G124),'Deal Tracker'!F124&amp;IF('Deal Tracker'!G124="","",", "&amp;'Deal Tracker'!G124))</f>
        <v/>
      </c>
      <c r="G124" s="0" t="str">
        <f aca="false">IF('Deal Tracker'!H124="","","Target: "&amp;TEXT('Deal Tracker'!H124,"mmm yyyy"))</f>
        <v/>
      </c>
    </row>
    <row r="125" customFormat="false" ht="15" hidden="false" customHeight="false" outlineLevel="0" collapsed="false">
      <c r="A125" s="0" t="str">
        <f aca="false">IF('Deal Tracker'!C125="","",COUNTIF('Deal Tracker'!$C$2:C125,'Deal Tracker'!C125))</f>
        <v/>
      </c>
      <c r="B125" s="0" t="str">
        <f aca="false">IF(A125="","",'Deal Tracker'!C125&amp;"#"&amp;A125)</f>
        <v/>
      </c>
      <c r="C125" s="0" t="str">
        <f aca="false">IF('Deal Tracker'!B125="","",'Deal Tracker'!B125)</f>
        <v/>
      </c>
      <c r="D125" s="0" t="str">
        <f aca="false">IF('Deal Tracker'!B125="","",IF('Deal Tracker'!D125="","TBD","$"&amp;TEXT('Deal Tracker'!D125,"#,##0")&amp;"M"))</f>
        <v/>
      </c>
      <c r="E125" s="0" t="str">
        <f aca="false">IF('Deal Tracker'!B125="","",IF(AND(F125="",G125=""),"",F125&amp;IF(OR(F125="",G125=""),"","  ·  ")&amp;G125))</f>
        <v/>
      </c>
      <c r="F125" s="0" t="str">
        <f aca="false">IF('Deal Tracker'!F125="",IF('Deal Tracker'!G125="","",'Deal Tracker'!G125),'Deal Tracker'!F125&amp;IF('Deal Tracker'!G125="","",", "&amp;'Deal Tracker'!G125))</f>
        <v/>
      </c>
      <c r="G125" s="0" t="str">
        <f aca="false">IF('Deal Tracker'!H125="","","Target: "&amp;TEXT('Deal Tracker'!H125,"mmm yyyy"))</f>
        <v/>
      </c>
    </row>
    <row r="126" customFormat="false" ht="15" hidden="false" customHeight="false" outlineLevel="0" collapsed="false">
      <c r="A126" s="0" t="str">
        <f aca="false">IF('Deal Tracker'!C126="","",COUNTIF('Deal Tracker'!$C$2:C126,'Deal Tracker'!C126))</f>
        <v/>
      </c>
      <c r="B126" s="0" t="str">
        <f aca="false">IF(A126="","",'Deal Tracker'!C126&amp;"#"&amp;A126)</f>
        <v/>
      </c>
      <c r="C126" s="0" t="str">
        <f aca="false">IF('Deal Tracker'!B126="","",'Deal Tracker'!B126)</f>
        <v/>
      </c>
      <c r="D126" s="0" t="str">
        <f aca="false">IF('Deal Tracker'!B126="","",IF('Deal Tracker'!D126="","TBD","$"&amp;TEXT('Deal Tracker'!D126,"#,##0")&amp;"M"))</f>
        <v/>
      </c>
      <c r="E126" s="0" t="str">
        <f aca="false">IF('Deal Tracker'!B126="","",IF(AND(F126="",G126=""),"",F126&amp;IF(OR(F126="",G126=""),"","  ·  ")&amp;G126))</f>
        <v/>
      </c>
      <c r="F126" s="0" t="str">
        <f aca="false">IF('Deal Tracker'!F126="",IF('Deal Tracker'!G126="","",'Deal Tracker'!G126),'Deal Tracker'!F126&amp;IF('Deal Tracker'!G126="","",", "&amp;'Deal Tracker'!G126))</f>
        <v/>
      </c>
      <c r="G126" s="0" t="str">
        <f aca="false">IF('Deal Tracker'!H126="","","Target: "&amp;TEXT('Deal Tracker'!H126,"mmm yyyy"))</f>
        <v/>
      </c>
    </row>
    <row r="127" customFormat="false" ht="15" hidden="false" customHeight="false" outlineLevel="0" collapsed="false">
      <c r="A127" s="0" t="str">
        <f aca="false">IF('Deal Tracker'!C127="","",COUNTIF('Deal Tracker'!$C$2:C127,'Deal Tracker'!C127))</f>
        <v/>
      </c>
      <c r="B127" s="0" t="str">
        <f aca="false">IF(A127="","",'Deal Tracker'!C127&amp;"#"&amp;A127)</f>
        <v/>
      </c>
      <c r="C127" s="0" t="str">
        <f aca="false">IF('Deal Tracker'!B127="","",'Deal Tracker'!B127)</f>
        <v/>
      </c>
      <c r="D127" s="0" t="str">
        <f aca="false">IF('Deal Tracker'!B127="","",IF('Deal Tracker'!D127="","TBD","$"&amp;TEXT('Deal Tracker'!D127,"#,##0")&amp;"M"))</f>
        <v/>
      </c>
      <c r="E127" s="0" t="str">
        <f aca="false">IF('Deal Tracker'!B127="","",IF(AND(F127="",G127=""),"",F127&amp;IF(OR(F127="",G127=""),"","  ·  ")&amp;G127))</f>
        <v/>
      </c>
      <c r="F127" s="0" t="str">
        <f aca="false">IF('Deal Tracker'!F127="",IF('Deal Tracker'!G127="","",'Deal Tracker'!G127),'Deal Tracker'!F127&amp;IF('Deal Tracker'!G127="","",", "&amp;'Deal Tracker'!G127))</f>
        <v/>
      </c>
      <c r="G127" s="0" t="str">
        <f aca="false">IF('Deal Tracker'!H127="","","Target: "&amp;TEXT('Deal Tracker'!H127,"mmm yyyy"))</f>
        <v/>
      </c>
    </row>
    <row r="128" customFormat="false" ht="15" hidden="false" customHeight="false" outlineLevel="0" collapsed="false">
      <c r="A128" s="0" t="str">
        <f aca="false">IF('Deal Tracker'!C128="","",COUNTIF('Deal Tracker'!$C$2:C128,'Deal Tracker'!C128))</f>
        <v/>
      </c>
      <c r="B128" s="0" t="str">
        <f aca="false">IF(A128="","",'Deal Tracker'!C128&amp;"#"&amp;A128)</f>
        <v/>
      </c>
      <c r="C128" s="0" t="str">
        <f aca="false">IF('Deal Tracker'!B128="","",'Deal Tracker'!B128)</f>
        <v/>
      </c>
      <c r="D128" s="0" t="str">
        <f aca="false">IF('Deal Tracker'!B128="","",IF('Deal Tracker'!D128="","TBD","$"&amp;TEXT('Deal Tracker'!D128,"#,##0")&amp;"M"))</f>
        <v/>
      </c>
      <c r="E128" s="0" t="str">
        <f aca="false">IF('Deal Tracker'!B128="","",IF(AND(F128="",G128=""),"",F128&amp;IF(OR(F128="",G128=""),"","  ·  ")&amp;G128))</f>
        <v/>
      </c>
      <c r="F128" s="0" t="str">
        <f aca="false">IF('Deal Tracker'!F128="",IF('Deal Tracker'!G128="","",'Deal Tracker'!G128),'Deal Tracker'!F128&amp;IF('Deal Tracker'!G128="","",", "&amp;'Deal Tracker'!G128))</f>
        <v/>
      </c>
      <c r="G128" s="0" t="str">
        <f aca="false">IF('Deal Tracker'!H128="","","Target: "&amp;TEXT('Deal Tracker'!H128,"mmm yyyy"))</f>
        <v/>
      </c>
    </row>
    <row r="129" customFormat="false" ht="15" hidden="false" customHeight="false" outlineLevel="0" collapsed="false">
      <c r="A129" s="0" t="str">
        <f aca="false">IF('Deal Tracker'!C129="","",COUNTIF('Deal Tracker'!$C$2:C129,'Deal Tracker'!C129))</f>
        <v/>
      </c>
      <c r="B129" s="0" t="str">
        <f aca="false">IF(A129="","",'Deal Tracker'!C129&amp;"#"&amp;A129)</f>
        <v/>
      </c>
      <c r="C129" s="0" t="str">
        <f aca="false">IF('Deal Tracker'!B129="","",'Deal Tracker'!B129)</f>
        <v/>
      </c>
      <c r="D129" s="0" t="str">
        <f aca="false">IF('Deal Tracker'!B129="","",IF('Deal Tracker'!D129="","TBD","$"&amp;TEXT('Deal Tracker'!D129,"#,##0")&amp;"M"))</f>
        <v/>
      </c>
      <c r="E129" s="0" t="str">
        <f aca="false">IF('Deal Tracker'!B129="","",IF(AND(F129="",G129=""),"",F129&amp;IF(OR(F129="",G129=""),"","  ·  ")&amp;G129))</f>
        <v/>
      </c>
      <c r="F129" s="0" t="str">
        <f aca="false">IF('Deal Tracker'!F129="",IF('Deal Tracker'!G129="","",'Deal Tracker'!G129),'Deal Tracker'!F129&amp;IF('Deal Tracker'!G129="","",", "&amp;'Deal Tracker'!G129))</f>
        <v/>
      </c>
      <c r="G129" s="0" t="str">
        <f aca="false">IF('Deal Tracker'!H129="","","Target: "&amp;TEXT('Deal Tracker'!H129,"mmm yyyy"))</f>
        <v/>
      </c>
    </row>
    <row r="130" customFormat="false" ht="15" hidden="false" customHeight="false" outlineLevel="0" collapsed="false">
      <c r="A130" s="0" t="str">
        <f aca="false">IF('Deal Tracker'!C130="","",COUNTIF('Deal Tracker'!$C$2:C130,'Deal Tracker'!C130))</f>
        <v/>
      </c>
      <c r="B130" s="0" t="str">
        <f aca="false">IF(A130="","",'Deal Tracker'!C130&amp;"#"&amp;A130)</f>
        <v/>
      </c>
      <c r="C130" s="0" t="str">
        <f aca="false">IF('Deal Tracker'!B130="","",'Deal Tracker'!B130)</f>
        <v/>
      </c>
      <c r="D130" s="0" t="str">
        <f aca="false">IF('Deal Tracker'!B130="","",IF('Deal Tracker'!D130="","TBD","$"&amp;TEXT('Deal Tracker'!D130,"#,##0")&amp;"M"))</f>
        <v/>
      </c>
      <c r="E130" s="0" t="str">
        <f aca="false">IF('Deal Tracker'!B130="","",IF(AND(F130="",G130=""),"",F130&amp;IF(OR(F130="",G130=""),"","  ·  ")&amp;G130))</f>
        <v/>
      </c>
      <c r="F130" s="0" t="str">
        <f aca="false">IF('Deal Tracker'!F130="",IF('Deal Tracker'!G130="","",'Deal Tracker'!G130),'Deal Tracker'!F130&amp;IF('Deal Tracker'!G130="","",", "&amp;'Deal Tracker'!G130))</f>
        <v/>
      </c>
      <c r="G130" s="0" t="str">
        <f aca="false">IF('Deal Tracker'!H130="","","Target: "&amp;TEXT('Deal Tracker'!H130,"mmm yyyy"))</f>
        <v/>
      </c>
    </row>
    <row r="131" customFormat="false" ht="15" hidden="false" customHeight="false" outlineLevel="0" collapsed="false">
      <c r="A131" s="0" t="str">
        <f aca="false">IF('Deal Tracker'!C131="","",COUNTIF('Deal Tracker'!$C$2:C131,'Deal Tracker'!C131))</f>
        <v/>
      </c>
      <c r="B131" s="0" t="str">
        <f aca="false">IF(A131="","",'Deal Tracker'!C131&amp;"#"&amp;A131)</f>
        <v/>
      </c>
      <c r="C131" s="0" t="str">
        <f aca="false">IF('Deal Tracker'!B131="","",'Deal Tracker'!B131)</f>
        <v/>
      </c>
      <c r="D131" s="0" t="str">
        <f aca="false">IF('Deal Tracker'!B131="","",IF('Deal Tracker'!D131="","TBD","$"&amp;TEXT('Deal Tracker'!D131,"#,##0")&amp;"M"))</f>
        <v/>
      </c>
      <c r="E131" s="0" t="str">
        <f aca="false">IF('Deal Tracker'!B131="","",IF(AND(F131="",G131=""),"",F131&amp;IF(OR(F131="",G131=""),"","  ·  ")&amp;G131))</f>
        <v/>
      </c>
      <c r="F131" s="0" t="str">
        <f aca="false">IF('Deal Tracker'!F131="",IF('Deal Tracker'!G131="","",'Deal Tracker'!G131),'Deal Tracker'!F131&amp;IF('Deal Tracker'!G131="","",", "&amp;'Deal Tracker'!G131))</f>
        <v/>
      </c>
      <c r="G131" s="0" t="str">
        <f aca="false">IF('Deal Tracker'!H131="","","Target: "&amp;TEXT('Deal Tracker'!H131,"mmm yyyy"))</f>
        <v/>
      </c>
    </row>
    <row r="132" customFormat="false" ht="15" hidden="false" customHeight="false" outlineLevel="0" collapsed="false">
      <c r="A132" s="0" t="str">
        <f aca="false">IF('Deal Tracker'!C132="","",COUNTIF('Deal Tracker'!$C$2:C132,'Deal Tracker'!C132))</f>
        <v/>
      </c>
      <c r="B132" s="0" t="str">
        <f aca="false">IF(A132="","",'Deal Tracker'!C132&amp;"#"&amp;A132)</f>
        <v/>
      </c>
      <c r="C132" s="0" t="str">
        <f aca="false">IF('Deal Tracker'!B132="","",'Deal Tracker'!B132)</f>
        <v/>
      </c>
      <c r="D132" s="0" t="str">
        <f aca="false">IF('Deal Tracker'!B132="","",IF('Deal Tracker'!D132="","TBD","$"&amp;TEXT('Deal Tracker'!D132,"#,##0")&amp;"M"))</f>
        <v/>
      </c>
      <c r="E132" s="0" t="str">
        <f aca="false">IF('Deal Tracker'!B132="","",IF(AND(F132="",G132=""),"",F132&amp;IF(OR(F132="",G132=""),"","  ·  ")&amp;G132))</f>
        <v/>
      </c>
      <c r="F132" s="0" t="str">
        <f aca="false">IF('Deal Tracker'!F132="",IF('Deal Tracker'!G132="","",'Deal Tracker'!G132),'Deal Tracker'!F132&amp;IF('Deal Tracker'!G132="","",", "&amp;'Deal Tracker'!G132))</f>
        <v/>
      </c>
      <c r="G132" s="0" t="str">
        <f aca="false">IF('Deal Tracker'!H132="","","Target: "&amp;TEXT('Deal Tracker'!H132,"mmm yyyy"))</f>
        <v/>
      </c>
    </row>
    <row r="133" customFormat="false" ht="15" hidden="false" customHeight="false" outlineLevel="0" collapsed="false">
      <c r="A133" s="0" t="str">
        <f aca="false">IF('Deal Tracker'!C133="","",COUNTIF('Deal Tracker'!$C$2:C133,'Deal Tracker'!C133))</f>
        <v/>
      </c>
      <c r="B133" s="0" t="str">
        <f aca="false">IF(A133="","",'Deal Tracker'!C133&amp;"#"&amp;A133)</f>
        <v/>
      </c>
      <c r="C133" s="0" t="str">
        <f aca="false">IF('Deal Tracker'!B133="","",'Deal Tracker'!B133)</f>
        <v/>
      </c>
      <c r="D133" s="0" t="str">
        <f aca="false">IF('Deal Tracker'!B133="","",IF('Deal Tracker'!D133="","TBD","$"&amp;TEXT('Deal Tracker'!D133,"#,##0")&amp;"M"))</f>
        <v/>
      </c>
      <c r="E133" s="0" t="str">
        <f aca="false">IF('Deal Tracker'!B133="","",IF(AND(F133="",G133=""),"",F133&amp;IF(OR(F133="",G133=""),"","  ·  ")&amp;G133))</f>
        <v/>
      </c>
      <c r="F133" s="0" t="str">
        <f aca="false">IF('Deal Tracker'!F133="",IF('Deal Tracker'!G133="","",'Deal Tracker'!G133),'Deal Tracker'!F133&amp;IF('Deal Tracker'!G133="","",", "&amp;'Deal Tracker'!G133))</f>
        <v/>
      </c>
      <c r="G133" s="0" t="str">
        <f aca="false">IF('Deal Tracker'!H133="","","Target: "&amp;TEXT('Deal Tracker'!H133,"mmm yyyy"))</f>
        <v/>
      </c>
    </row>
    <row r="134" customFormat="false" ht="15" hidden="false" customHeight="false" outlineLevel="0" collapsed="false">
      <c r="A134" s="0" t="str">
        <f aca="false">IF('Deal Tracker'!C134="","",COUNTIF('Deal Tracker'!$C$2:C134,'Deal Tracker'!C134))</f>
        <v/>
      </c>
      <c r="B134" s="0" t="str">
        <f aca="false">IF(A134="","",'Deal Tracker'!C134&amp;"#"&amp;A134)</f>
        <v/>
      </c>
      <c r="C134" s="0" t="str">
        <f aca="false">IF('Deal Tracker'!B134="","",'Deal Tracker'!B134)</f>
        <v/>
      </c>
      <c r="D134" s="0" t="str">
        <f aca="false">IF('Deal Tracker'!B134="","",IF('Deal Tracker'!D134="","TBD","$"&amp;TEXT('Deal Tracker'!D134,"#,##0")&amp;"M"))</f>
        <v/>
      </c>
      <c r="E134" s="0" t="str">
        <f aca="false">IF('Deal Tracker'!B134="","",IF(AND(F134="",G134=""),"",F134&amp;IF(OR(F134="",G134=""),"","  ·  ")&amp;G134))</f>
        <v/>
      </c>
      <c r="F134" s="0" t="str">
        <f aca="false">IF('Deal Tracker'!F134="",IF('Deal Tracker'!G134="","",'Deal Tracker'!G134),'Deal Tracker'!F134&amp;IF('Deal Tracker'!G134="","",", "&amp;'Deal Tracker'!G134))</f>
        <v/>
      </c>
      <c r="G134" s="0" t="str">
        <f aca="false">IF('Deal Tracker'!H134="","","Target: "&amp;TEXT('Deal Tracker'!H134,"mmm yyyy"))</f>
        <v/>
      </c>
    </row>
    <row r="135" customFormat="false" ht="15" hidden="false" customHeight="false" outlineLevel="0" collapsed="false">
      <c r="A135" s="0" t="str">
        <f aca="false">IF('Deal Tracker'!C135="","",COUNTIF('Deal Tracker'!$C$2:C135,'Deal Tracker'!C135))</f>
        <v/>
      </c>
      <c r="B135" s="0" t="str">
        <f aca="false">IF(A135="","",'Deal Tracker'!C135&amp;"#"&amp;A135)</f>
        <v/>
      </c>
      <c r="C135" s="0" t="str">
        <f aca="false">IF('Deal Tracker'!B135="","",'Deal Tracker'!B135)</f>
        <v/>
      </c>
      <c r="D135" s="0" t="str">
        <f aca="false">IF('Deal Tracker'!B135="","",IF('Deal Tracker'!D135="","TBD","$"&amp;TEXT('Deal Tracker'!D135,"#,##0")&amp;"M"))</f>
        <v/>
      </c>
      <c r="E135" s="0" t="str">
        <f aca="false">IF('Deal Tracker'!B135="","",IF(AND(F135="",G135=""),"",F135&amp;IF(OR(F135="",G135=""),"","  ·  ")&amp;G135))</f>
        <v/>
      </c>
      <c r="F135" s="0" t="str">
        <f aca="false">IF('Deal Tracker'!F135="",IF('Deal Tracker'!G135="","",'Deal Tracker'!G135),'Deal Tracker'!F135&amp;IF('Deal Tracker'!G135="","",", "&amp;'Deal Tracker'!G135))</f>
        <v/>
      </c>
      <c r="G135" s="0" t="str">
        <f aca="false">IF('Deal Tracker'!H135="","","Target: "&amp;TEXT('Deal Tracker'!H135,"mmm yyyy"))</f>
        <v/>
      </c>
    </row>
    <row r="136" customFormat="false" ht="15" hidden="false" customHeight="false" outlineLevel="0" collapsed="false">
      <c r="A136" s="0" t="str">
        <f aca="false">IF('Deal Tracker'!C136="","",COUNTIF('Deal Tracker'!$C$2:C136,'Deal Tracker'!C136))</f>
        <v/>
      </c>
      <c r="B136" s="0" t="str">
        <f aca="false">IF(A136="","",'Deal Tracker'!C136&amp;"#"&amp;A136)</f>
        <v/>
      </c>
      <c r="C136" s="0" t="str">
        <f aca="false">IF('Deal Tracker'!B136="","",'Deal Tracker'!B136)</f>
        <v/>
      </c>
      <c r="D136" s="0" t="str">
        <f aca="false">IF('Deal Tracker'!B136="","",IF('Deal Tracker'!D136="","TBD","$"&amp;TEXT('Deal Tracker'!D136,"#,##0")&amp;"M"))</f>
        <v/>
      </c>
      <c r="E136" s="0" t="str">
        <f aca="false">IF('Deal Tracker'!B136="","",IF(AND(F136="",G136=""),"",F136&amp;IF(OR(F136="",G136=""),"","  ·  ")&amp;G136))</f>
        <v/>
      </c>
      <c r="F136" s="0" t="str">
        <f aca="false">IF('Deal Tracker'!F136="",IF('Deal Tracker'!G136="","",'Deal Tracker'!G136),'Deal Tracker'!F136&amp;IF('Deal Tracker'!G136="","",", "&amp;'Deal Tracker'!G136))</f>
        <v/>
      </c>
      <c r="G136" s="0" t="str">
        <f aca="false">IF('Deal Tracker'!H136="","","Target: "&amp;TEXT('Deal Tracker'!H136,"mmm yyyy"))</f>
        <v/>
      </c>
    </row>
    <row r="137" customFormat="false" ht="15" hidden="false" customHeight="false" outlineLevel="0" collapsed="false">
      <c r="A137" s="0" t="str">
        <f aca="false">IF('Deal Tracker'!C137="","",COUNTIF('Deal Tracker'!$C$2:C137,'Deal Tracker'!C137))</f>
        <v/>
      </c>
      <c r="B137" s="0" t="str">
        <f aca="false">IF(A137="","",'Deal Tracker'!C137&amp;"#"&amp;A137)</f>
        <v/>
      </c>
      <c r="C137" s="0" t="str">
        <f aca="false">IF('Deal Tracker'!B137="","",'Deal Tracker'!B137)</f>
        <v/>
      </c>
      <c r="D137" s="0" t="str">
        <f aca="false">IF('Deal Tracker'!B137="","",IF('Deal Tracker'!D137="","TBD","$"&amp;TEXT('Deal Tracker'!D137,"#,##0")&amp;"M"))</f>
        <v/>
      </c>
      <c r="E137" s="0" t="str">
        <f aca="false">IF('Deal Tracker'!B137="","",IF(AND(F137="",G137=""),"",F137&amp;IF(OR(F137="",G137=""),"","  ·  ")&amp;G137))</f>
        <v/>
      </c>
      <c r="F137" s="0" t="str">
        <f aca="false">IF('Deal Tracker'!F137="",IF('Deal Tracker'!G137="","",'Deal Tracker'!G137),'Deal Tracker'!F137&amp;IF('Deal Tracker'!G137="","",", "&amp;'Deal Tracker'!G137))</f>
        <v/>
      </c>
      <c r="G137" s="0" t="str">
        <f aca="false">IF('Deal Tracker'!H137="","","Target: "&amp;TEXT('Deal Tracker'!H137,"mmm yyyy"))</f>
        <v/>
      </c>
    </row>
    <row r="138" customFormat="false" ht="15" hidden="false" customHeight="false" outlineLevel="0" collapsed="false">
      <c r="A138" s="0" t="str">
        <f aca="false">IF('Deal Tracker'!C138="","",COUNTIF('Deal Tracker'!$C$2:C138,'Deal Tracker'!C138))</f>
        <v/>
      </c>
      <c r="B138" s="0" t="str">
        <f aca="false">IF(A138="","",'Deal Tracker'!C138&amp;"#"&amp;A138)</f>
        <v/>
      </c>
      <c r="C138" s="0" t="str">
        <f aca="false">IF('Deal Tracker'!B138="","",'Deal Tracker'!B138)</f>
        <v/>
      </c>
      <c r="D138" s="0" t="str">
        <f aca="false">IF('Deal Tracker'!B138="","",IF('Deal Tracker'!D138="","TBD","$"&amp;TEXT('Deal Tracker'!D138,"#,##0")&amp;"M"))</f>
        <v/>
      </c>
      <c r="E138" s="0" t="str">
        <f aca="false">IF('Deal Tracker'!B138="","",IF(AND(F138="",G138=""),"",F138&amp;IF(OR(F138="",G138=""),"","  ·  ")&amp;G138))</f>
        <v/>
      </c>
      <c r="F138" s="0" t="str">
        <f aca="false">IF('Deal Tracker'!F138="",IF('Deal Tracker'!G138="","",'Deal Tracker'!G138),'Deal Tracker'!F138&amp;IF('Deal Tracker'!G138="","",", "&amp;'Deal Tracker'!G138))</f>
        <v/>
      </c>
      <c r="G138" s="0" t="str">
        <f aca="false">IF('Deal Tracker'!H138="","","Target: "&amp;TEXT('Deal Tracker'!H138,"mmm yyyy"))</f>
        <v/>
      </c>
    </row>
    <row r="139" customFormat="false" ht="15" hidden="false" customHeight="false" outlineLevel="0" collapsed="false">
      <c r="A139" s="0" t="str">
        <f aca="false">IF('Deal Tracker'!C139="","",COUNTIF('Deal Tracker'!$C$2:C139,'Deal Tracker'!C139))</f>
        <v/>
      </c>
      <c r="B139" s="0" t="str">
        <f aca="false">IF(A139="","",'Deal Tracker'!C139&amp;"#"&amp;A139)</f>
        <v/>
      </c>
      <c r="C139" s="0" t="str">
        <f aca="false">IF('Deal Tracker'!B139="","",'Deal Tracker'!B139)</f>
        <v/>
      </c>
      <c r="D139" s="0" t="str">
        <f aca="false">IF('Deal Tracker'!B139="","",IF('Deal Tracker'!D139="","TBD","$"&amp;TEXT('Deal Tracker'!D139,"#,##0")&amp;"M"))</f>
        <v/>
      </c>
      <c r="E139" s="0" t="str">
        <f aca="false">IF('Deal Tracker'!B139="","",IF(AND(F139="",G139=""),"",F139&amp;IF(OR(F139="",G139=""),"","  ·  ")&amp;G139))</f>
        <v/>
      </c>
      <c r="F139" s="0" t="str">
        <f aca="false">IF('Deal Tracker'!F139="",IF('Deal Tracker'!G139="","",'Deal Tracker'!G139),'Deal Tracker'!F139&amp;IF('Deal Tracker'!G139="","",", "&amp;'Deal Tracker'!G139))</f>
        <v/>
      </c>
      <c r="G139" s="0" t="str">
        <f aca="false">IF('Deal Tracker'!H139="","","Target: "&amp;TEXT('Deal Tracker'!H139,"mmm yyyy"))</f>
        <v/>
      </c>
    </row>
    <row r="140" customFormat="false" ht="15" hidden="false" customHeight="false" outlineLevel="0" collapsed="false">
      <c r="A140" s="0" t="str">
        <f aca="false">IF('Deal Tracker'!C140="","",COUNTIF('Deal Tracker'!$C$2:C140,'Deal Tracker'!C140))</f>
        <v/>
      </c>
      <c r="B140" s="0" t="str">
        <f aca="false">IF(A140="","",'Deal Tracker'!C140&amp;"#"&amp;A140)</f>
        <v/>
      </c>
      <c r="C140" s="0" t="str">
        <f aca="false">IF('Deal Tracker'!B140="","",'Deal Tracker'!B140)</f>
        <v/>
      </c>
      <c r="D140" s="0" t="str">
        <f aca="false">IF('Deal Tracker'!B140="","",IF('Deal Tracker'!D140="","TBD","$"&amp;TEXT('Deal Tracker'!D140,"#,##0")&amp;"M"))</f>
        <v/>
      </c>
      <c r="E140" s="0" t="str">
        <f aca="false">IF('Deal Tracker'!B140="","",IF(AND(F140="",G140=""),"",F140&amp;IF(OR(F140="",G140=""),"","  ·  ")&amp;G140))</f>
        <v/>
      </c>
      <c r="F140" s="0" t="str">
        <f aca="false">IF('Deal Tracker'!F140="",IF('Deal Tracker'!G140="","",'Deal Tracker'!G140),'Deal Tracker'!F140&amp;IF('Deal Tracker'!G140="","",", "&amp;'Deal Tracker'!G140))</f>
        <v/>
      </c>
      <c r="G140" s="0" t="str">
        <f aca="false">IF('Deal Tracker'!H140="","","Target: "&amp;TEXT('Deal Tracker'!H140,"mmm yyyy"))</f>
        <v/>
      </c>
    </row>
    <row r="141" customFormat="false" ht="15" hidden="false" customHeight="false" outlineLevel="0" collapsed="false">
      <c r="A141" s="0" t="str">
        <f aca="false">IF('Deal Tracker'!C141="","",COUNTIF('Deal Tracker'!$C$2:C141,'Deal Tracker'!C141))</f>
        <v/>
      </c>
      <c r="B141" s="0" t="str">
        <f aca="false">IF(A141="","",'Deal Tracker'!C141&amp;"#"&amp;A141)</f>
        <v/>
      </c>
      <c r="C141" s="0" t="str">
        <f aca="false">IF('Deal Tracker'!B141="","",'Deal Tracker'!B141)</f>
        <v/>
      </c>
      <c r="D141" s="0" t="str">
        <f aca="false">IF('Deal Tracker'!B141="","",IF('Deal Tracker'!D141="","TBD","$"&amp;TEXT('Deal Tracker'!D141,"#,##0")&amp;"M"))</f>
        <v/>
      </c>
      <c r="E141" s="0" t="str">
        <f aca="false">IF('Deal Tracker'!B141="","",IF(AND(F141="",G141=""),"",F141&amp;IF(OR(F141="",G141=""),"","  ·  ")&amp;G141))</f>
        <v/>
      </c>
      <c r="F141" s="0" t="str">
        <f aca="false">IF('Deal Tracker'!F141="",IF('Deal Tracker'!G141="","",'Deal Tracker'!G141),'Deal Tracker'!F141&amp;IF('Deal Tracker'!G141="","",", "&amp;'Deal Tracker'!G141))</f>
        <v/>
      </c>
      <c r="G141" s="0" t="str">
        <f aca="false">IF('Deal Tracker'!H141="","","Target: "&amp;TEXT('Deal Tracker'!H141,"mmm yyyy"))</f>
        <v/>
      </c>
    </row>
    <row r="142" customFormat="false" ht="15" hidden="false" customHeight="false" outlineLevel="0" collapsed="false">
      <c r="A142" s="0" t="str">
        <f aca="false">IF('Deal Tracker'!C142="","",COUNTIF('Deal Tracker'!$C$2:C142,'Deal Tracker'!C142))</f>
        <v/>
      </c>
      <c r="B142" s="0" t="str">
        <f aca="false">IF(A142="","",'Deal Tracker'!C142&amp;"#"&amp;A142)</f>
        <v/>
      </c>
      <c r="C142" s="0" t="str">
        <f aca="false">IF('Deal Tracker'!B142="","",'Deal Tracker'!B142)</f>
        <v/>
      </c>
      <c r="D142" s="0" t="str">
        <f aca="false">IF('Deal Tracker'!B142="","",IF('Deal Tracker'!D142="","TBD","$"&amp;TEXT('Deal Tracker'!D142,"#,##0")&amp;"M"))</f>
        <v/>
      </c>
      <c r="E142" s="0" t="str">
        <f aca="false">IF('Deal Tracker'!B142="","",IF(AND(F142="",G142=""),"",F142&amp;IF(OR(F142="",G142=""),"","  ·  ")&amp;G142))</f>
        <v/>
      </c>
      <c r="F142" s="0" t="str">
        <f aca="false">IF('Deal Tracker'!F142="",IF('Deal Tracker'!G142="","",'Deal Tracker'!G142),'Deal Tracker'!F142&amp;IF('Deal Tracker'!G142="","",", "&amp;'Deal Tracker'!G142))</f>
        <v/>
      </c>
      <c r="G142" s="0" t="str">
        <f aca="false">IF('Deal Tracker'!H142="","","Target: "&amp;TEXT('Deal Tracker'!H142,"mmm yyyy"))</f>
        <v/>
      </c>
    </row>
    <row r="143" customFormat="false" ht="15" hidden="false" customHeight="false" outlineLevel="0" collapsed="false">
      <c r="A143" s="0" t="str">
        <f aca="false">IF('Deal Tracker'!C143="","",COUNTIF('Deal Tracker'!$C$2:C143,'Deal Tracker'!C143))</f>
        <v/>
      </c>
      <c r="B143" s="0" t="str">
        <f aca="false">IF(A143="","",'Deal Tracker'!C143&amp;"#"&amp;A143)</f>
        <v/>
      </c>
      <c r="C143" s="0" t="str">
        <f aca="false">IF('Deal Tracker'!B143="","",'Deal Tracker'!B143)</f>
        <v/>
      </c>
      <c r="D143" s="0" t="str">
        <f aca="false">IF('Deal Tracker'!B143="","",IF('Deal Tracker'!D143="","TBD","$"&amp;TEXT('Deal Tracker'!D143,"#,##0")&amp;"M"))</f>
        <v/>
      </c>
      <c r="E143" s="0" t="str">
        <f aca="false">IF('Deal Tracker'!B143="","",IF(AND(F143="",G143=""),"",F143&amp;IF(OR(F143="",G143=""),"","  ·  ")&amp;G143))</f>
        <v/>
      </c>
      <c r="F143" s="0" t="str">
        <f aca="false">IF('Deal Tracker'!F143="",IF('Deal Tracker'!G143="","",'Deal Tracker'!G143),'Deal Tracker'!F143&amp;IF('Deal Tracker'!G143="","",", "&amp;'Deal Tracker'!G143))</f>
        <v/>
      </c>
      <c r="G143" s="0" t="str">
        <f aca="false">IF('Deal Tracker'!H143="","","Target: "&amp;TEXT('Deal Tracker'!H143,"mmm yyyy"))</f>
        <v/>
      </c>
    </row>
    <row r="144" customFormat="false" ht="15" hidden="false" customHeight="false" outlineLevel="0" collapsed="false">
      <c r="A144" s="0" t="str">
        <f aca="false">IF('Deal Tracker'!C144="","",COUNTIF('Deal Tracker'!$C$2:C144,'Deal Tracker'!C144))</f>
        <v/>
      </c>
      <c r="B144" s="0" t="str">
        <f aca="false">IF(A144="","",'Deal Tracker'!C144&amp;"#"&amp;A144)</f>
        <v/>
      </c>
      <c r="C144" s="0" t="str">
        <f aca="false">IF('Deal Tracker'!B144="","",'Deal Tracker'!B144)</f>
        <v/>
      </c>
      <c r="D144" s="0" t="str">
        <f aca="false">IF('Deal Tracker'!B144="","",IF('Deal Tracker'!D144="","TBD","$"&amp;TEXT('Deal Tracker'!D144,"#,##0")&amp;"M"))</f>
        <v/>
      </c>
      <c r="E144" s="0" t="str">
        <f aca="false">IF('Deal Tracker'!B144="","",IF(AND(F144="",G144=""),"",F144&amp;IF(OR(F144="",G144=""),"","  ·  ")&amp;G144))</f>
        <v/>
      </c>
      <c r="F144" s="0" t="str">
        <f aca="false">IF('Deal Tracker'!F144="",IF('Deal Tracker'!G144="","",'Deal Tracker'!G144),'Deal Tracker'!F144&amp;IF('Deal Tracker'!G144="","",", "&amp;'Deal Tracker'!G144))</f>
        <v/>
      </c>
      <c r="G144" s="0" t="str">
        <f aca="false">IF('Deal Tracker'!H144="","","Target: "&amp;TEXT('Deal Tracker'!H144,"mmm yyyy"))</f>
        <v/>
      </c>
    </row>
    <row r="145" customFormat="false" ht="15" hidden="false" customHeight="false" outlineLevel="0" collapsed="false">
      <c r="A145" s="0" t="str">
        <f aca="false">IF('Deal Tracker'!C145="","",COUNTIF('Deal Tracker'!$C$2:C145,'Deal Tracker'!C145))</f>
        <v/>
      </c>
      <c r="B145" s="0" t="str">
        <f aca="false">IF(A145="","",'Deal Tracker'!C145&amp;"#"&amp;A145)</f>
        <v/>
      </c>
      <c r="C145" s="0" t="str">
        <f aca="false">IF('Deal Tracker'!B145="","",'Deal Tracker'!B145)</f>
        <v/>
      </c>
      <c r="D145" s="0" t="str">
        <f aca="false">IF('Deal Tracker'!B145="","",IF('Deal Tracker'!D145="","TBD","$"&amp;TEXT('Deal Tracker'!D145,"#,##0")&amp;"M"))</f>
        <v/>
      </c>
      <c r="E145" s="0" t="str">
        <f aca="false">IF('Deal Tracker'!B145="","",IF(AND(F145="",G145=""),"",F145&amp;IF(OR(F145="",G145=""),"","  ·  ")&amp;G145))</f>
        <v/>
      </c>
      <c r="F145" s="0" t="str">
        <f aca="false">IF('Deal Tracker'!F145="",IF('Deal Tracker'!G145="","",'Deal Tracker'!G145),'Deal Tracker'!F145&amp;IF('Deal Tracker'!G145="","",", "&amp;'Deal Tracker'!G145))</f>
        <v/>
      </c>
      <c r="G145" s="0" t="str">
        <f aca="false">IF('Deal Tracker'!H145="","","Target: "&amp;TEXT('Deal Tracker'!H145,"mmm yyyy"))</f>
        <v/>
      </c>
    </row>
    <row r="146" customFormat="false" ht="15" hidden="false" customHeight="false" outlineLevel="0" collapsed="false">
      <c r="A146" s="0" t="str">
        <f aca="false">IF('Deal Tracker'!C146="","",COUNTIF('Deal Tracker'!$C$2:C146,'Deal Tracker'!C146))</f>
        <v/>
      </c>
      <c r="B146" s="0" t="str">
        <f aca="false">IF(A146="","",'Deal Tracker'!C146&amp;"#"&amp;A146)</f>
        <v/>
      </c>
      <c r="C146" s="0" t="str">
        <f aca="false">IF('Deal Tracker'!B146="","",'Deal Tracker'!B146)</f>
        <v/>
      </c>
      <c r="D146" s="0" t="str">
        <f aca="false">IF('Deal Tracker'!B146="","",IF('Deal Tracker'!D146="","TBD","$"&amp;TEXT('Deal Tracker'!D146,"#,##0")&amp;"M"))</f>
        <v/>
      </c>
      <c r="E146" s="0" t="str">
        <f aca="false">IF('Deal Tracker'!B146="","",IF(AND(F146="",G146=""),"",F146&amp;IF(OR(F146="",G146=""),"","  ·  ")&amp;G146))</f>
        <v/>
      </c>
      <c r="F146" s="0" t="str">
        <f aca="false">IF('Deal Tracker'!F146="",IF('Deal Tracker'!G146="","",'Deal Tracker'!G146),'Deal Tracker'!F146&amp;IF('Deal Tracker'!G146="","",", "&amp;'Deal Tracker'!G146))</f>
        <v/>
      </c>
      <c r="G146" s="0" t="str">
        <f aca="false">IF('Deal Tracker'!H146="","","Target: "&amp;TEXT('Deal Tracker'!H146,"mmm yyyy"))</f>
        <v/>
      </c>
    </row>
    <row r="147" customFormat="false" ht="15" hidden="false" customHeight="false" outlineLevel="0" collapsed="false">
      <c r="A147" s="0" t="str">
        <f aca="false">IF('Deal Tracker'!C147="","",COUNTIF('Deal Tracker'!$C$2:C147,'Deal Tracker'!C147))</f>
        <v/>
      </c>
      <c r="B147" s="0" t="str">
        <f aca="false">IF(A147="","",'Deal Tracker'!C147&amp;"#"&amp;A147)</f>
        <v/>
      </c>
      <c r="C147" s="0" t="str">
        <f aca="false">IF('Deal Tracker'!B147="","",'Deal Tracker'!B147)</f>
        <v/>
      </c>
      <c r="D147" s="0" t="str">
        <f aca="false">IF('Deal Tracker'!B147="","",IF('Deal Tracker'!D147="","TBD","$"&amp;TEXT('Deal Tracker'!D147,"#,##0")&amp;"M"))</f>
        <v/>
      </c>
      <c r="E147" s="0" t="str">
        <f aca="false">IF('Deal Tracker'!B147="","",IF(AND(F147="",G147=""),"",F147&amp;IF(OR(F147="",G147=""),"","  ·  ")&amp;G147))</f>
        <v/>
      </c>
      <c r="F147" s="0" t="str">
        <f aca="false">IF('Deal Tracker'!F147="",IF('Deal Tracker'!G147="","",'Deal Tracker'!G147),'Deal Tracker'!F147&amp;IF('Deal Tracker'!G147="","",", "&amp;'Deal Tracker'!G147))</f>
        <v/>
      </c>
      <c r="G147" s="0" t="str">
        <f aca="false">IF('Deal Tracker'!H147="","","Target: "&amp;TEXT('Deal Tracker'!H147,"mmm yyyy"))</f>
        <v/>
      </c>
    </row>
    <row r="148" customFormat="false" ht="15" hidden="false" customHeight="false" outlineLevel="0" collapsed="false">
      <c r="A148" s="0" t="str">
        <f aca="false">IF('Deal Tracker'!C148="","",COUNTIF('Deal Tracker'!$C$2:C148,'Deal Tracker'!C148))</f>
        <v/>
      </c>
      <c r="B148" s="0" t="str">
        <f aca="false">IF(A148="","",'Deal Tracker'!C148&amp;"#"&amp;A148)</f>
        <v/>
      </c>
      <c r="C148" s="0" t="str">
        <f aca="false">IF('Deal Tracker'!B148="","",'Deal Tracker'!B148)</f>
        <v/>
      </c>
      <c r="D148" s="0" t="str">
        <f aca="false">IF('Deal Tracker'!B148="","",IF('Deal Tracker'!D148="","TBD","$"&amp;TEXT('Deal Tracker'!D148,"#,##0")&amp;"M"))</f>
        <v/>
      </c>
      <c r="E148" s="0" t="str">
        <f aca="false">IF('Deal Tracker'!B148="","",IF(AND(F148="",G148=""),"",F148&amp;IF(OR(F148="",G148=""),"","  ·  ")&amp;G148))</f>
        <v/>
      </c>
      <c r="F148" s="0" t="str">
        <f aca="false">IF('Deal Tracker'!F148="",IF('Deal Tracker'!G148="","",'Deal Tracker'!G148),'Deal Tracker'!F148&amp;IF('Deal Tracker'!G148="","",", "&amp;'Deal Tracker'!G148))</f>
        <v/>
      </c>
      <c r="G148" s="0" t="str">
        <f aca="false">IF('Deal Tracker'!H148="","","Target: "&amp;TEXT('Deal Tracker'!H148,"mmm yyyy"))</f>
        <v/>
      </c>
    </row>
    <row r="149" customFormat="false" ht="15" hidden="false" customHeight="false" outlineLevel="0" collapsed="false">
      <c r="A149" s="0" t="str">
        <f aca="false">IF('Deal Tracker'!C149="","",COUNTIF('Deal Tracker'!$C$2:C149,'Deal Tracker'!C149))</f>
        <v/>
      </c>
      <c r="B149" s="0" t="str">
        <f aca="false">IF(A149="","",'Deal Tracker'!C149&amp;"#"&amp;A149)</f>
        <v/>
      </c>
      <c r="C149" s="0" t="str">
        <f aca="false">IF('Deal Tracker'!B149="","",'Deal Tracker'!B149)</f>
        <v/>
      </c>
      <c r="D149" s="0" t="str">
        <f aca="false">IF('Deal Tracker'!B149="","",IF('Deal Tracker'!D149="","TBD","$"&amp;TEXT('Deal Tracker'!D149,"#,##0")&amp;"M"))</f>
        <v/>
      </c>
      <c r="E149" s="0" t="str">
        <f aca="false">IF('Deal Tracker'!B149="","",IF(AND(F149="",G149=""),"",F149&amp;IF(OR(F149="",G149=""),"","  ·  ")&amp;G149))</f>
        <v/>
      </c>
      <c r="F149" s="0" t="str">
        <f aca="false">IF('Deal Tracker'!F149="",IF('Deal Tracker'!G149="","",'Deal Tracker'!G149),'Deal Tracker'!F149&amp;IF('Deal Tracker'!G149="","",", "&amp;'Deal Tracker'!G149))</f>
        <v/>
      </c>
      <c r="G149" s="0" t="str">
        <f aca="false">IF('Deal Tracker'!H149="","","Target: "&amp;TEXT('Deal Tracker'!H149,"mmm yyyy"))</f>
        <v/>
      </c>
    </row>
    <row r="150" customFormat="false" ht="15" hidden="false" customHeight="false" outlineLevel="0" collapsed="false">
      <c r="A150" s="0" t="str">
        <f aca="false">IF('Deal Tracker'!C150="","",COUNTIF('Deal Tracker'!$C$2:C150,'Deal Tracker'!C150))</f>
        <v/>
      </c>
      <c r="B150" s="0" t="str">
        <f aca="false">IF(A150="","",'Deal Tracker'!C150&amp;"#"&amp;A150)</f>
        <v/>
      </c>
      <c r="C150" s="0" t="str">
        <f aca="false">IF('Deal Tracker'!B150="","",'Deal Tracker'!B150)</f>
        <v/>
      </c>
      <c r="D150" s="0" t="str">
        <f aca="false">IF('Deal Tracker'!B150="","",IF('Deal Tracker'!D150="","TBD","$"&amp;TEXT('Deal Tracker'!D150,"#,##0")&amp;"M"))</f>
        <v/>
      </c>
      <c r="E150" s="0" t="str">
        <f aca="false">IF('Deal Tracker'!B150="","",IF(AND(F150="",G150=""),"",F150&amp;IF(OR(F150="",G150=""),"","  ·  ")&amp;G150))</f>
        <v/>
      </c>
      <c r="F150" s="0" t="str">
        <f aca="false">IF('Deal Tracker'!F150="",IF('Deal Tracker'!G150="","",'Deal Tracker'!G150),'Deal Tracker'!F150&amp;IF('Deal Tracker'!G150="","",", "&amp;'Deal Tracker'!G150))</f>
        <v/>
      </c>
      <c r="G150" s="0" t="str">
        <f aca="false">IF('Deal Tracker'!H150="","","Target: "&amp;TEXT('Deal Tracker'!H150,"mmm yyyy"))</f>
        <v/>
      </c>
    </row>
    <row r="151" customFormat="false" ht="15" hidden="false" customHeight="false" outlineLevel="0" collapsed="false">
      <c r="A151" s="0" t="str">
        <f aca="false">IF('Deal Tracker'!C151="","",COUNTIF('Deal Tracker'!$C$2:C151,'Deal Tracker'!C151))</f>
        <v/>
      </c>
      <c r="B151" s="0" t="str">
        <f aca="false">IF(A151="","",'Deal Tracker'!C151&amp;"#"&amp;A151)</f>
        <v/>
      </c>
      <c r="C151" s="0" t="str">
        <f aca="false">IF('Deal Tracker'!B151="","",'Deal Tracker'!B151)</f>
        <v/>
      </c>
      <c r="D151" s="0" t="str">
        <f aca="false">IF('Deal Tracker'!B151="","",IF('Deal Tracker'!D151="","TBD","$"&amp;TEXT('Deal Tracker'!D151,"#,##0")&amp;"M"))</f>
        <v/>
      </c>
      <c r="E151" s="0" t="str">
        <f aca="false">IF('Deal Tracker'!B151="","",IF(AND(F151="",G151=""),"",F151&amp;IF(OR(F151="",G151=""),"","  ·  ")&amp;G151))</f>
        <v/>
      </c>
      <c r="F151" s="0" t="str">
        <f aca="false">IF('Deal Tracker'!F151="",IF('Deal Tracker'!G151="","",'Deal Tracker'!G151),'Deal Tracker'!F151&amp;IF('Deal Tracker'!G151="","",", "&amp;'Deal Tracker'!G151))</f>
        <v/>
      </c>
      <c r="G151" s="0" t="str">
        <f aca="false">IF('Deal Tracker'!H151="","","Target: "&amp;TEXT('Deal Tracker'!H151,"mmm yyyy"))</f>
        <v/>
      </c>
    </row>
    <row r="152" customFormat="false" ht="15" hidden="false" customHeight="false" outlineLevel="0" collapsed="false">
      <c r="A152" s="0" t="str">
        <f aca="false">IF('Deal Tracker'!C152="","",COUNTIF('Deal Tracker'!$C$2:C152,'Deal Tracker'!C152))</f>
        <v/>
      </c>
      <c r="B152" s="0" t="str">
        <f aca="false">IF(A152="","",'Deal Tracker'!C152&amp;"#"&amp;A152)</f>
        <v/>
      </c>
      <c r="C152" s="0" t="str">
        <f aca="false">IF('Deal Tracker'!B152="","",'Deal Tracker'!B152)</f>
        <v/>
      </c>
      <c r="D152" s="0" t="str">
        <f aca="false">IF('Deal Tracker'!B152="","",IF('Deal Tracker'!D152="","TBD","$"&amp;TEXT('Deal Tracker'!D152,"#,##0")&amp;"M"))</f>
        <v/>
      </c>
      <c r="E152" s="0" t="str">
        <f aca="false">IF('Deal Tracker'!B152="","",IF(AND(F152="",G152=""),"",F152&amp;IF(OR(F152="",G152=""),"","  ·  ")&amp;G152))</f>
        <v/>
      </c>
      <c r="F152" s="0" t="str">
        <f aca="false">IF('Deal Tracker'!F152="",IF('Deal Tracker'!G152="","",'Deal Tracker'!G152),'Deal Tracker'!F152&amp;IF('Deal Tracker'!G152="","",", "&amp;'Deal Tracker'!G152))</f>
        <v/>
      </c>
      <c r="G152" s="0" t="str">
        <f aca="false">IF('Deal Tracker'!H152="","","Target: "&amp;TEXT('Deal Tracker'!H152,"mmm yyyy"))</f>
        <v/>
      </c>
    </row>
    <row r="153" customFormat="false" ht="15" hidden="false" customHeight="false" outlineLevel="0" collapsed="false">
      <c r="A153" s="0" t="str">
        <f aca="false">IF('Deal Tracker'!C153="","",COUNTIF('Deal Tracker'!$C$2:C153,'Deal Tracker'!C153))</f>
        <v/>
      </c>
      <c r="B153" s="0" t="str">
        <f aca="false">IF(A153="","",'Deal Tracker'!C153&amp;"#"&amp;A153)</f>
        <v/>
      </c>
      <c r="C153" s="0" t="str">
        <f aca="false">IF('Deal Tracker'!B153="","",'Deal Tracker'!B153)</f>
        <v/>
      </c>
      <c r="D153" s="0" t="str">
        <f aca="false">IF('Deal Tracker'!B153="","",IF('Deal Tracker'!D153="","TBD","$"&amp;TEXT('Deal Tracker'!D153,"#,##0")&amp;"M"))</f>
        <v/>
      </c>
      <c r="E153" s="0" t="str">
        <f aca="false">IF('Deal Tracker'!B153="","",IF(AND(F153="",G153=""),"",F153&amp;IF(OR(F153="",G153=""),"","  ·  ")&amp;G153))</f>
        <v/>
      </c>
      <c r="F153" s="0" t="str">
        <f aca="false">IF('Deal Tracker'!F153="",IF('Deal Tracker'!G153="","",'Deal Tracker'!G153),'Deal Tracker'!F153&amp;IF('Deal Tracker'!G153="","",", "&amp;'Deal Tracker'!G153))</f>
        <v/>
      </c>
      <c r="G153" s="0" t="str">
        <f aca="false">IF('Deal Tracker'!H153="","","Target: "&amp;TEXT('Deal Tracker'!H153,"mmm yyyy"))</f>
        <v/>
      </c>
    </row>
    <row r="154" customFormat="false" ht="15" hidden="false" customHeight="false" outlineLevel="0" collapsed="false">
      <c r="A154" s="0" t="str">
        <f aca="false">IF('Deal Tracker'!C154="","",COUNTIF('Deal Tracker'!$C$2:C154,'Deal Tracker'!C154))</f>
        <v/>
      </c>
      <c r="B154" s="0" t="str">
        <f aca="false">IF(A154="","",'Deal Tracker'!C154&amp;"#"&amp;A154)</f>
        <v/>
      </c>
      <c r="C154" s="0" t="str">
        <f aca="false">IF('Deal Tracker'!B154="","",'Deal Tracker'!B154)</f>
        <v/>
      </c>
      <c r="D154" s="0" t="str">
        <f aca="false">IF('Deal Tracker'!B154="","",IF('Deal Tracker'!D154="","TBD","$"&amp;TEXT('Deal Tracker'!D154,"#,##0")&amp;"M"))</f>
        <v/>
      </c>
      <c r="E154" s="0" t="str">
        <f aca="false">IF('Deal Tracker'!B154="","",IF(AND(F154="",G154=""),"",F154&amp;IF(OR(F154="",G154=""),"","  ·  ")&amp;G154))</f>
        <v/>
      </c>
      <c r="F154" s="0" t="str">
        <f aca="false">IF('Deal Tracker'!F154="",IF('Deal Tracker'!G154="","",'Deal Tracker'!G154),'Deal Tracker'!F154&amp;IF('Deal Tracker'!G154="","",", "&amp;'Deal Tracker'!G154))</f>
        <v/>
      </c>
      <c r="G154" s="0" t="str">
        <f aca="false">IF('Deal Tracker'!H154="","","Target: "&amp;TEXT('Deal Tracker'!H154,"mmm yyyy"))</f>
        <v/>
      </c>
    </row>
    <row r="155" customFormat="false" ht="15" hidden="false" customHeight="false" outlineLevel="0" collapsed="false">
      <c r="A155" s="0" t="str">
        <f aca="false">IF('Deal Tracker'!C155="","",COUNTIF('Deal Tracker'!$C$2:C155,'Deal Tracker'!C155))</f>
        <v/>
      </c>
      <c r="B155" s="0" t="str">
        <f aca="false">IF(A155="","",'Deal Tracker'!C155&amp;"#"&amp;A155)</f>
        <v/>
      </c>
      <c r="C155" s="0" t="str">
        <f aca="false">IF('Deal Tracker'!B155="","",'Deal Tracker'!B155)</f>
        <v/>
      </c>
      <c r="D155" s="0" t="str">
        <f aca="false">IF('Deal Tracker'!B155="","",IF('Deal Tracker'!D155="","TBD","$"&amp;TEXT('Deal Tracker'!D155,"#,##0")&amp;"M"))</f>
        <v/>
      </c>
      <c r="E155" s="0" t="str">
        <f aca="false">IF('Deal Tracker'!B155="","",IF(AND(F155="",G155=""),"",F155&amp;IF(OR(F155="",G155=""),"","  ·  ")&amp;G155))</f>
        <v/>
      </c>
      <c r="F155" s="0" t="str">
        <f aca="false">IF('Deal Tracker'!F155="",IF('Deal Tracker'!G155="","",'Deal Tracker'!G155),'Deal Tracker'!F155&amp;IF('Deal Tracker'!G155="","",", "&amp;'Deal Tracker'!G155))</f>
        <v/>
      </c>
      <c r="G155" s="0" t="str">
        <f aca="false">IF('Deal Tracker'!H155="","","Target: "&amp;TEXT('Deal Tracker'!H155,"mmm yyyy"))</f>
        <v/>
      </c>
    </row>
    <row r="156" customFormat="false" ht="15" hidden="false" customHeight="false" outlineLevel="0" collapsed="false">
      <c r="A156" s="0" t="str">
        <f aca="false">IF('Deal Tracker'!C156="","",COUNTIF('Deal Tracker'!$C$2:C156,'Deal Tracker'!C156))</f>
        <v/>
      </c>
      <c r="B156" s="0" t="str">
        <f aca="false">IF(A156="","",'Deal Tracker'!C156&amp;"#"&amp;A156)</f>
        <v/>
      </c>
      <c r="C156" s="0" t="str">
        <f aca="false">IF('Deal Tracker'!B156="","",'Deal Tracker'!B156)</f>
        <v/>
      </c>
      <c r="D156" s="0" t="str">
        <f aca="false">IF('Deal Tracker'!B156="","",IF('Deal Tracker'!D156="","TBD","$"&amp;TEXT('Deal Tracker'!D156,"#,##0")&amp;"M"))</f>
        <v/>
      </c>
      <c r="E156" s="0" t="str">
        <f aca="false">IF('Deal Tracker'!B156="","",IF(AND(F156="",G156=""),"",F156&amp;IF(OR(F156="",G156=""),"","  ·  ")&amp;G156))</f>
        <v/>
      </c>
      <c r="F156" s="0" t="str">
        <f aca="false">IF('Deal Tracker'!F156="",IF('Deal Tracker'!G156="","",'Deal Tracker'!G156),'Deal Tracker'!F156&amp;IF('Deal Tracker'!G156="","",", "&amp;'Deal Tracker'!G156))</f>
        <v/>
      </c>
      <c r="G156" s="0" t="str">
        <f aca="false">IF('Deal Tracker'!H156="","","Target: "&amp;TEXT('Deal Tracker'!H156,"mmm yyyy"))</f>
        <v/>
      </c>
    </row>
    <row r="157" customFormat="false" ht="15" hidden="false" customHeight="false" outlineLevel="0" collapsed="false">
      <c r="A157" s="0" t="str">
        <f aca="false">IF('Deal Tracker'!C157="","",COUNTIF('Deal Tracker'!$C$2:C157,'Deal Tracker'!C157))</f>
        <v/>
      </c>
      <c r="B157" s="0" t="str">
        <f aca="false">IF(A157="","",'Deal Tracker'!C157&amp;"#"&amp;A157)</f>
        <v/>
      </c>
      <c r="C157" s="0" t="str">
        <f aca="false">IF('Deal Tracker'!B157="","",'Deal Tracker'!B157)</f>
        <v/>
      </c>
      <c r="D157" s="0" t="str">
        <f aca="false">IF('Deal Tracker'!B157="","",IF('Deal Tracker'!D157="","TBD","$"&amp;TEXT('Deal Tracker'!D157,"#,##0")&amp;"M"))</f>
        <v/>
      </c>
      <c r="E157" s="0" t="str">
        <f aca="false">IF('Deal Tracker'!B157="","",IF(AND(F157="",G157=""),"",F157&amp;IF(OR(F157="",G157=""),"","  ·  ")&amp;G157))</f>
        <v/>
      </c>
      <c r="F157" s="0" t="str">
        <f aca="false">IF('Deal Tracker'!F157="",IF('Deal Tracker'!G157="","",'Deal Tracker'!G157),'Deal Tracker'!F157&amp;IF('Deal Tracker'!G157="","",", "&amp;'Deal Tracker'!G157))</f>
        <v/>
      </c>
      <c r="G157" s="0" t="str">
        <f aca="false">IF('Deal Tracker'!H157="","","Target: "&amp;TEXT('Deal Tracker'!H157,"mmm yyyy"))</f>
        <v/>
      </c>
    </row>
    <row r="158" customFormat="false" ht="15" hidden="false" customHeight="false" outlineLevel="0" collapsed="false">
      <c r="A158" s="0" t="str">
        <f aca="false">IF('Deal Tracker'!C158="","",COUNTIF('Deal Tracker'!$C$2:C158,'Deal Tracker'!C158))</f>
        <v/>
      </c>
      <c r="B158" s="0" t="str">
        <f aca="false">IF(A158="","",'Deal Tracker'!C158&amp;"#"&amp;A158)</f>
        <v/>
      </c>
      <c r="C158" s="0" t="str">
        <f aca="false">IF('Deal Tracker'!B158="","",'Deal Tracker'!B158)</f>
        <v/>
      </c>
      <c r="D158" s="0" t="str">
        <f aca="false">IF('Deal Tracker'!B158="","",IF('Deal Tracker'!D158="","TBD","$"&amp;TEXT('Deal Tracker'!D158,"#,##0")&amp;"M"))</f>
        <v/>
      </c>
      <c r="E158" s="0" t="str">
        <f aca="false">IF('Deal Tracker'!B158="","",IF(AND(F158="",G158=""),"",F158&amp;IF(OR(F158="",G158=""),"","  ·  ")&amp;G158))</f>
        <v/>
      </c>
      <c r="F158" s="0" t="str">
        <f aca="false">IF('Deal Tracker'!F158="",IF('Deal Tracker'!G158="","",'Deal Tracker'!G158),'Deal Tracker'!F158&amp;IF('Deal Tracker'!G158="","",", "&amp;'Deal Tracker'!G158))</f>
        <v/>
      </c>
      <c r="G158" s="0" t="str">
        <f aca="false">IF('Deal Tracker'!H158="","","Target: "&amp;TEXT('Deal Tracker'!H158,"mmm yyyy"))</f>
        <v/>
      </c>
    </row>
    <row r="159" customFormat="false" ht="15" hidden="false" customHeight="false" outlineLevel="0" collapsed="false">
      <c r="A159" s="0" t="str">
        <f aca="false">IF('Deal Tracker'!C159="","",COUNTIF('Deal Tracker'!$C$2:C159,'Deal Tracker'!C159))</f>
        <v/>
      </c>
      <c r="B159" s="0" t="str">
        <f aca="false">IF(A159="","",'Deal Tracker'!C159&amp;"#"&amp;A159)</f>
        <v/>
      </c>
      <c r="C159" s="0" t="str">
        <f aca="false">IF('Deal Tracker'!B159="","",'Deal Tracker'!B159)</f>
        <v/>
      </c>
      <c r="D159" s="0" t="str">
        <f aca="false">IF('Deal Tracker'!B159="","",IF('Deal Tracker'!D159="","TBD","$"&amp;TEXT('Deal Tracker'!D159,"#,##0")&amp;"M"))</f>
        <v/>
      </c>
      <c r="E159" s="0" t="str">
        <f aca="false">IF('Deal Tracker'!B159="","",IF(AND(F159="",G159=""),"",F159&amp;IF(OR(F159="",G159=""),"","  ·  ")&amp;G159))</f>
        <v/>
      </c>
      <c r="F159" s="0" t="str">
        <f aca="false">IF('Deal Tracker'!F159="",IF('Deal Tracker'!G159="","",'Deal Tracker'!G159),'Deal Tracker'!F159&amp;IF('Deal Tracker'!G159="","",", "&amp;'Deal Tracker'!G159))</f>
        <v/>
      </c>
      <c r="G159" s="0" t="str">
        <f aca="false">IF('Deal Tracker'!H159="","","Target: "&amp;TEXT('Deal Tracker'!H159,"mmm yyyy"))</f>
        <v/>
      </c>
    </row>
    <row r="160" customFormat="false" ht="15" hidden="false" customHeight="false" outlineLevel="0" collapsed="false">
      <c r="A160" s="0" t="str">
        <f aca="false">IF('Deal Tracker'!C160="","",COUNTIF('Deal Tracker'!$C$2:C160,'Deal Tracker'!C160))</f>
        <v/>
      </c>
      <c r="B160" s="0" t="str">
        <f aca="false">IF(A160="","",'Deal Tracker'!C160&amp;"#"&amp;A160)</f>
        <v/>
      </c>
      <c r="C160" s="0" t="str">
        <f aca="false">IF('Deal Tracker'!B160="","",'Deal Tracker'!B160)</f>
        <v/>
      </c>
      <c r="D160" s="0" t="str">
        <f aca="false">IF('Deal Tracker'!B160="","",IF('Deal Tracker'!D160="","TBD","$"&amp;TEXT('Deal Tracker'!D160,"#,##0")&amp;"M"))</f>
        <v/>
      </c>
      <c r="E160" s="0" t="str">
        <f aca="false">IF('Deal Tracker'!B160="","",IF(AND(F160="",G160=""),"",F160&amp;IF(OR(F160="",G160=""),"","  ·  ")&amp;G160))</f>
        <v/>
      </c>
      <c r="F160" s="0" t="str">
        <f aca="false">IF('Deal Tracker'!F160="",IF('Deal Tracker'!G160="","",'Deal Tracker'!G160),'Deal Tracker'!F160&amp;IF('Deal Tracker'!G160="","",", "&amp;'Deal Tracker'!G160))</f>
        <v/>
      </c>
      <c r="G160" s="0" t="str">
        <f aca="false">IF('Deal Tracker'!H160="","","Target: "&amp;TEXT('Deal Tracker'!H160,"mmm yyyy"))</f>
        <v/>
      </c>
    </row>
    <row r="161" customFormat="false" ht="15" hidden="false" customHeight="false" outlineLevel="0" collapsed="false">
      <c r="A161" s="0" t="str">
        <f aca="false">IF('Deal Tracker'!C161="","",COUNTIF('Deal Tracker'!$C$2:C161,'Deal Tracker'!C161))</f>
        <v/>
      </c>
      <c r="B161" s="0" t="str">
        <f aca="false">IF(A161="","",'Deal Tracker'!C161&amp;"#"&amp;A161)</f>
        <v/>
      </c>
      <c r="C161" s="0" t="str">
        <f aca="false">IF('Deal Tracker'!B161="","",'Deal Tracker'!B161)</f>
        <v/>
      </c>
      <c r="D161" s="0" t="str">
        <f aca="false">IF('Deal Tracker'!B161="","",IF('Deal Tracker'!D161="","TBD","$"&amp;TEXT('Deal Tracker'!D161,"#,##0")&amp;"M"))</f>
        <v/>
      </c>
      <c r="E161" s="0" t="str">
        <f aca="false">IF('Deal Tracker'!B161="","",IF(AND(F161="",G161=""),"",F161&amp;IF(OR(F161="",G161=""),"","  ·  ")&amp;G161))</f>
        <v/>
      </c>
      <c r="F161" s="0" t="str">
        <f aca="false">IF('Deal Tracker'!F161="",IF('Deal Tracker'!G161="","",'Deal Tracker'!G161),'Deal Tracker'!F161&amp;IF('Deal Tracker'!G161="","",", "&amp;'Deal Tracker'!G161))</f>
        <v/>
      </c>
      <c r="G161" s="0" t="str">
        <f aca="false">IF('Deal Tracker'!H161="","","Target: "&amp;TEXT('Deal Tracker'!H161,"mmm yyyy"))</f>
        <v/>
      </c>
    </row>
    <row r="162" customFormat="false" ht="15" hidden="false" customHeight="false" outlineLevel="0" collapsed="false">
      <c r="A162" s="0" t="str">
        <f aca="false">IF('Deal Tracker'!C162="","",COUNTIF('Deal Tracker'!$C$2:C162,'Deal Tracker'!C162))</f>
        <v/>
      </c>
      <c r="B162" s="0" t="str">
        <f aca="false">IF(A162="","",'Deal Tracker'!C162&amp;"#"&amp;A162)</f>
        <v/>
      </c>
      <c r="C162" s="0" t="str">
        <f aca="false">IF('Deal Tracker'!B162="","",'Deal Tracker'!B162)</f>
        <v/>
      </c>
      <c r="D162" s="0" t="str">
        <f aca="false">IF('Deal Tracker'!B162="","",IF('Deal Tracker'!D162="","TBD","$"&amp;TEXT('Deal Tracker'!D162,"#,##0")&amp;"M"))</f>
        <v/>
      </c>
      <c r="E162" s="0" t="str">
        <f aca="false">IF('Deal Tracker'!B162="","",IF(AND(F162="",G162=""),"",F162&amp;IF(OR(F162="",G162=""),"","  ·  ")&amp;G162))</f>
        <v/>
      </c>
      <c r="F162" s="0" t="str">
        <f aca="false">IF('Deal Tracker'!F162="",IF('Deal Tracker'!G162="","",'Deal Tracker'!G162),'Deal Tracker'!F162&amp;IF('Deal Tracker'!G162="","",", "&amp;'Deal Tracker'!G162))</f>
        <v/>
      </c>
      <c r="G162" s="0" t="str">
        <f aca="false">IF('Deal Tracker'!H162="","","Target: "&amp;TEXT('Deal Tracker'!H162,"mmm yyyy"))</f>
        <v/>
      </c>
    </row>
    <row r="163" customFormat="false" ht="15" hidden="false" customHeight="false" outlineLevel="0" collapsed="false">
      <c r="A163" s="0" t="str">
        <f aca="false">IF('Deal Tracker'!C163="","",COUNTIF('Deal Tracker'!$C$2:C163,'Deal Tracker'!C163))</f>
        <v/>
      </c>
      <c r="B163" s="0" t="str">
        <f aca="false">IF(A163="","",'Deal Tracker'!C163&amp;"#"&amp;A163)</f>
        <v/>
      </c>
      <c r="C163" s="0" t="str">
        <f aca="false">IF('Deal Tracker'!B163="","",'Deal Tracker'!B163)</f>
        <v/>
      </c>
      <c r="D163" s="0" t="str">
        <f aca="false">IF('Deal Tracker'!B163="","",IF('Deal Tracker'!D163="","TBD","$"&amp;TEXT('Deal Tracker'!D163,"#,##0")&amp;"M"))</f>
        <v/>
      </c>
      <c r="E163" s="0" t="str">
        <f aca="false">IF('Deal Tracker'!B163="","",IF(AND(F163="",G163=""),"",F163&amp;IF(OR(F163="",G163=""),"","  ·  ")&amp;G163))</f>
        <v/>
      </c>
      <c r="F163" s="0" t="str">
        <f aca="false">IF('Deal Tracker'!F163="",IF('Deal Tracker'!G163="","",'Deal Tracker'!G163),'Deal Tracker'!F163&amp;IF('Deal Tracker'!G163="","",", "&amp;'Deal Tracker'!G163))</f>
        <v/>
      </c>
      <c r="G163" s="0" t="str">
        <f aca="false">IF('Deal Tracker'!H163="","","Target: "&amp;TEXT('Deal Tracker'!H163,"mmm yyyy"))</f>
        <v/>
      </c>
    </row>
    <row r="164" customFormat="false" ht="15" hidden="false" customHeight="false" outlineLevel="0" collapsed="false">
      <c r="A164" s="0" t="str">
        <f aca="false">IF('Deal Tracker'!C164="","",COUNTIF('Deal Tracker'!$C$2:C164,'Deal Tracker'!C164))</f>
        <v/>
      </c>
      <c r="B164" s="0" t="str">
        <f aca="false">IF(A164="","",'Deal Tracker'!C164&amp;"#"&amp;A164)</f>
        <v/>
      </c>
      <c r="C164" s="0" t="str">
        <f aca="false">IF('Deal Tracker'!B164="","",'Deal Tracker'!B164)</f>
        <v/>
      </c>
      <c r="D164" s="0" t="str">
        <f aca="false">IF('Deal Tracker'!B164="","",IF('Deal Tracker'!D164="","TBD","$"&amp;TEXT('Deal Tracker'!D164,"#,##0")&amp;"M"))</f>
        <v/>
      </c>
      <c r="E164" s="0" t="str">
        <f aca="false">IF('Deal Tracker'!B164="","",IF(AND(F164="",G164=""),"",F164&amp;IF(OR(F164="",G164=""),"","  ·  ")&amp;G164))</f>
        <v/>
      </c>
      <c r="F164" s="0" t="str">
        <f aca="false">IF('Deal Tracker'!F164="",IF('Deal Tracker'!G164="","",'Deal Tracker'!G164),'Deal Tracker'!F164&amp;IF('Deal Tracker'!G164="","",", "&amp;'Deal Tracker'!G164))</f>
        <v/>
      </c>
      <c r="G164" s="0" t="str">
        <f aca="false">IF('Deal Tracker'!H164="","","Target: "&amp;TEXT('Deal Tracker'!H164,"mmm yyyy"))</f>
        <v/>
      </c>
    </row>
    <row r="165" customFormat="false" ht="15" hidden="false" customHeight="false" outlineLevel="0" collapsed="false">
      <c r="A165" s="0" t="str">
        <f aca="false">IF('Deal Tracker'!C165="","",COUNTIF('Deal Tracker'!$C$2:C165,'Deal Tracker'!C165))</f>
        <v/>
      </c>
      <c r="B165" s="0" t="str">
        <f aca="false">IF(A165="","",'Deal Tracker'!C165&amp;"#"&amp;A165)</f>
        <v/>
      </c>
      <c r="C165" s="0" t="str">
        <f aca="false">IF('Deal Tracker'!B165="","",'Deal Tracker'!B165)</f>
        <v/>
      </c>
      <c r="D165" s="0" t="str">
        <f aca="false">IF('Deal Tracker'!B165="","",IF('Deal Tracker'!D165="","TBD","$"&amp;TEXT('Deal Tracker'!D165,"#,##0")&amp;"M"))</f>
        <v/>
      </c>
      <c r="E165" s="0" t="str">
        <f aca="false">IF('Deal Tracker'!B165="","",IF(AND(F165="",G165=""),"",F165&amp;IF(OR(F165="",G165=""),"","  ·  ")&amp;G165))</f>
        <v/>
      </c>
      <c r="F165" s="0" t="str">
        <f aca="false">IF('Deal Tracker'!F165="",IF('Deal Tracker'!G165="","",'Deal Tracker'!G165),'Deal Tracker'!F165&amp;IF('Deal Tracker'!G165="","",", "&amp;'Deal Tracker'!G165))</f>
        <v/>
      </c>
      <c r="G165" s="0" t="str">
        <f aca="false">IF('Deal Tracker'!H165="","","Target: "&amp;TEXT('Deal Tracker'!H165,"mmm yyyy"))</f>
        <v/>
      </c>
    </row>
    <row r="166" customFormat="false" ht="15" hidden="false" customHeight="false" outlineLevel="0" collapsed="false">
      <c r="A166" s="0" t="str">
        <f aca="false">IF('Deal Tracker'!C166="","",COUNTIF('Deal Tracker'!$C$2:C166,'Deal Tracker'!C166))</f>
        <v/>
      </c>
      <c r="B166" s="0" t="str">
        <f aca="false">IF(A166="","",'Deal Tracker'!C166&amp;"#"&amp;A166)</f>
        <v/>
      </c>
      <c r="C166" s="0" t="str">
        <f aca="false">IF('Deal Tracker'!B166="","",'Deal Tracker'!B166)</f>
        <v/>
      </c>
      <c r="D166" s="0" t="str">
        <f aca="false">IF('Deal Tracker'!B166="","",IF('Deal Tracker'!D166="","TBD","$"&amp;TEXT('Deal Tracker'!D166,"#,##0")&amp;"M"))</f>
        <v/>
      </c>
      <c r="E166" s="0" t="str">
        <f aca="false">IF('Deal Tracker'!B166="","",IF(AND(F166="",G166=""),"",F166&amp;IF(OR(F166="",G166=""),"","  ·  ")&amp;G166))</f>
        <v/>
      </c>
      <c r="F166" s="0" t="str">
        <f aca="false">IF('Deal Tracker'!F166="",IF('Deal Tracker'!G166="","",'Deal Tracker'!G166),'Deal Tracker'!F166&amp;IF('Deal Tracker'!G166="","",", "&amp;'Deal Tracker'!G166))</f>
        <v/>
      </c>
      <c r="G166" s="0" t="str">
        <f aca="false">IF('Deal Tracker'!H166="","","Target: "&amp;TEXT('Deal Tracker'!H166,"mmm yyyy"))</f>
        <v/>
      </c>
    </row>
    <row r="167" customFormat="false" ht="15" hidden="false" customHeight="false" outlineLevel="0" collapsed="false">
      <c r="A167" s="0" t="str">
        <f aca="false">IF('Deal Tracker'!C167="","",COUNTIF('Deal Tracker'!$C$2:C167,'Deal Tracker'!C167))</f>
        <v/>
      </c>
      <c r="B167" s="0" t="str">
        <f aca="false">IF(A167="","",'Deal Tracker'!C167&amp;"#"&amp;A167)</f>
        <v/>
      </c>
      <c r="C167" s="0" t="str">
        <f aca="false">IF('Deal Tracker'!B167="","",'Deal Tracker'!B167)</f>
        <v/>
      </c>
      <c r="D167" s="0" t="str">
        <f aca="false">IF('Deal Tracker'!B167="","",IF('Deal Tracker'!D167="","TBD","$"&amp;TEXT('Deal Tracker'!D167,"#,##0")&amp;"M"))</f>
        <v/>
      </c>
      <c r="E167" s="0" t="str">
        <f aca="false">IF('Deal Tracker'!B167="","",IF(AND(F167="",G167=""),"",F167&amp;IF(OR(F167="",G167=""),"","  ·  ")&amp;G167))</f>
        <v/>
      </c>
      <c r="F167" s="0" t="str">
        <f aca="false">IF('Deal Tracker'!F167="",IF('Deal Tracker'!G167="","",'Deal Tracker'!G167),'Deal Tracker'!F167&amp;IF('Deal Tracker'!G167="","",", "&amp;'Deal Tracker'!G167))</f>
        <v/>
      </c>
      <c r="G167" s="0" t="str">
        <f aca="false">IF('Deal Tracker'!H167="","","Target: "&amp;TEXT('Deal Tracker'!H167,"mmm yyyy"))</f>
        <v/>
      </c>
    </row>
    <row r="168" customFormat="false" ht="15" hidden="false" customHeight="false" outlineLevel="0" collapsed="false">
      <c r="A168" s="0" t="str">
        <f aca="false">IF('Deal Tracker'!C168="","",COUNTIF('Deal Tracker'!$C$2:C168,'Deal Tracker'!C168))</f>
        <v/>
      </c>
      <c r="B168" s="0" t="str">
        <f aca="false">IF(A168="","",'Deal Tracker'!C168&amp;"#"&amp;A168)</f>
        <v/>
      </c>
      <c r="C168" s="0" t="str">
        <f aca="false">IF('Deal Tracker'!B168="","",'Deal Tracker'!B168)</f>
        <v/>
      </c>
      <c r="D168" s="0" t="str">
        <f aca="false">IF('Deal Tracker'!B168="","",IF('Deal Tracker'!D168="","TBD","$"&amp;TEXT('Deal Tracker'!D168,"#,##0")&amp;"M"))</f>
        <v/>
      </c>
      <c r="E168" s="0" t="str">
        <f aca="false">IF('Deal Tracker'!B168="","",IF(AND(F168="",G168=""),"",F168&amp;IF(OR(F168="",G168=""),"","  ·  ")&amp;G168))</f>
        <v/>
      </c>
      <c r="F168" s="0" t="str">
        <f aca="false">IF('Deal Tracker'!F168="",IF('Deal Tracker'!G168="","",'Deal Tracker'!G168),'Deal Tracker'!F168&amp;IF('Deal Tracker'!G168="","",", "&amp;'Deal Tracker'!G168))</f>
        <v/>
      </c>
      <c r="G168" s="0" t="str">
        <f aca="false">IF('Deal Tracker'!H168="","","Target: "&amp;TEXT('Deal Tracker'!H168,"mmm yyyy"))</f>
        <v/>
      </c>
    </row>
    <row r="169" customFormat="false" ht="15" hidden="false" customHeight="false" outlineLevel="0" collapsed="false">
      <c r="A169" s="0" t="str">
        <f aca="false">IF('Deal Tracker'!C169="","",COUNTIF('Deal Tracker'!$C$2:C169,'Deal Tracker'!C169))</f>
        <v/>
      </c>
      <c r="B169" s="0" t="str">
        <f aca="false">IF(A169="","",'Deal Tracker'!C169&amp;"#"&amp;A169)</f>
        <v/>
      </c>
      <c r="C169" s="0" t="str">
        <f aca="false">IF('Deal Tracker'!B169="","",'Deal Tracker'!B169)</f>
        <v/>
      </c>
      <c r="D169" s="0" t="str">
        <f aca="false">IF('Deal Tracker'!B169="","",IF('Deal Tracker'!D169="","TBD","$"&amp;TEXT('Deal Tracker'!D169,"#,##0")&amp;"M"))</f>
        <v/>
      </c>
      <c r="E169" s="0" t="str">
        <f aca="false">IF('Deal Tracker'!B169="","",IF(AND(F169="",G169=""),"",F169&amp;IF(OR(F169="",G169=""),"","  ·  ")&amp;G169))</f>
        <v/>
      </c>
      <c r="F169" s="0" t="str">
        <f aca="false">IF('Deal Tracker'!F169="",IF('Deal Tracker'!G169="","",'Deal Tracker'!G169),'Deal Tracker'!F169&amp;IF('Deal Tracker'!G169="","",", "&amp;'Deal Tracker'!G169))</f>
        <v/>
      </c>
      <c r="G169" s="0" t="str">
        <f aca="false">IF('Deal Tracker'!H169="","","Target: "&amp;TEXT('Deal Tracker'!H169,"mmm yyyy"))</f>
        <v/>
      </c>
    </row>
    <row r="170" customFormat="false" ht="15" hidden="false" customHeight="false" outlineLevel="0" collapsed="false">
      <c r="A170" s="0" t="str">
        <f aca="false">IF('Deal Tracker'!C170="","",COUNTIF('Deal Tracker'!$C$2:C170,'Deal Tracker'!C170))</f>
        <v/>
      </c>
      <c r="B170" s="0" t="str">
        <f aca="false">IF(A170="","",'Deal Tracker'!C170&amp;"#"&amp;A170)</f>
        <v/>
      </c>
      <c r="C170" s="0" t="str">
        <f aca="false">IF('Deal Tracker'!B170="","",'Deal Tracker'!B170)</f>
        <v/>
      </c>
      <c r="D170" s="0" t="str">
        <f aca="false">IF('Deal Tracker'!B170="","",IF('Deal Tracker'!D170="","TBD","$"&amp;TEXT('Deal Tracker'!D170,"#,##0")&amp;"M"))</f>
        <v/>
      </c>
      <c r="E170" s="0" t="str">
        <f aca="false">IF('Deal Tracker'!B170="","",IF(AND(F170="",G170=""),"",F170&amp;IF(OR(F170="",G170=""),"","  ·  ")&amp;G170))</f>
        <v/>
      </c>
      <c r="F170" s="0" t="str">
        <f aca="false">IF('Deal Tracker'!F170="",IF('Deal Tracker'!G170="","",'Deal Tracker'!G170),'Deal Tracker'!F170&amp;IF('Deal Tracker'!G170="","",", "&amp;'Deal Tracker'!G170))</f>
        <v/>
      </c>
      <c r="G170" s="0" t="str">
        <f aca="false">IF('Deal Tracker'!H170="","","Target: "&amp;TEXT('Deal Tracker'!H170,"mmm yyyy"))</f>
        <v/>
      </c>
    </row>
    <row r="171" customFormat="false" ht="15" hidden="false" customHeight="false" outlineLevel="0" collapsed="false">
      <c r="A171" s="0" t="str">
        <f aca="false">IF('Deal Tracker'!C171="","",COUNTIF('Deal Tracker'!$C$2:C171,'Deal Tracker'!C171))</f>
        <v/>
      </c>
      <c r="B171" s="0" t="str">
        <f aca="false">IF(A171="","",'Deal Tracker'!C171&amp;"#"&amp;A171)</f>
        <v/>
      </c>
      <c r="C171" s="0" t="str">
        <f aca="false">IF('Deal Tracker'!B171="","",'Deal Tracker'!B171)</f>
        <v/>
      </c>
      <c r="D171" s="0" t="str">
        <f aca="false">IF('Deal Tracker'!B171="","",IF('Deal Tracker'!D171="","TBD","$"&amp;TEXT('Deal Tracker'!D171,"#,##0")&amp;"M"))</f>
        <v/>
      </c>
      <c r="E171" s="0" t="str">
        <f aca="false">IF('Deal Tracker'!B171="","",IF(AND(F171="",G171=""),"",F171&amp;IF(OR(F171="",G171=""),"","  ·  ")&amp;G171))</f>
        <v/>
      </c>
      <c r="F171" s="0" t="str">
        <f aca="false">IF('Deal Tracker'!F171="",IF('Deal Tracker'!G171="","",'Deal Tracker'!G171),'Deal Tracker'!F171&amp;IF('Deal Tracker'!G171="","",", "&amp;'Deal Tracker'!G171))</f>
        <v/>
      </c>
      <c r="G171" s="0" t="str">
        <f aca="false">IF('Deal Tracker'!H171="","","Target: "&amp;TEXT('Deal Tracker'!H171,"mmm yyyy"))</f>
        <v/>
      </c>
    </row>
    <row r="172" customFormat="false" ht="15" hidden="false" customHeight="false" outlineLevel="0" collapsed="false">
      <c r="A172" s="0" t="str">
        <f aca="false">IF('Deal Tracker'!C172="","",COUNTIF('Deal Tracker'!$C$2:C172,'Deal Tracker'!C172))</f>
        <v/>
      </c>
      <c r="B172" s="0" t="str">
        <f aca="false">IF(A172="","",'Deal Tracker'!C172&amp;"#"&amp;A172)</f>
        <v/>
      </c>
      <c r="C172" s="0" t="str">
        <f aca="false">IF('Deal Tracker'!B172="","",'Deal Tracker'!B172)</f>
        <v/>
      </c>
      <c r="D172" s="0" t="str">
        <f aca="false">IF('Deal Tracker'!B172="","",IF('Deal Tracker'!D172="","TBD","$"&amp;TEXT('Deal Tracker'!D172,"#,##0")&amp;"M"))</f>
        <v/>
      </c>
      <c r="E172" s="0" t="str">
        <f aca="false">IF('Deal Tracker'!B172="","",IF(AND(F172="",G172=""),"",F172&amp;IF(OR(F172="",G172=""),"","  ·  ")&amp;G172))</f>
        <v/>
      </c>
      <c r="F172" s="0" t="str">
        <f aca="false">IF('Deal Tracker'!F172="",IF('Deal Tracker'!G172="","",'Deal Tracker'!G172),'Deal Tracker'!F172&amp;IF('Deal Tracker'!G172="","",", "&amp;'Deal Tracker'!G172))</f>
        <v/>
      </c>
      <c r="G172" s="0" t="str">
        <f aca="false">IF('Deal Tracker'!H172="","","Target: "&amp;TEXT('Deal Tracker'!H172,"mmm yyyy"))</f>
        <v/>
      </c>
    </row>
    <row r="173" customFormat="false" ht="15" hidden="false" customHeight="false" outlineLevel="0" collapsed="false">
      <c r="A173" s="0" t="str">
        <f aca="false">IF('Deal Tracker'!C173="","",COUNTIF('Deal Tracker'!$C$2:C173,'Deal Tracker'!C173))</f>
        <v/>
      </c>
      <c r="B173" s="0" t="str">
        <f aca="false">IF(A173="","",'Deal Tracker'!C173&amp;"#"&amp;A173)</f>
        <v/>
      </c>
      <c r="C173" s="0" t="str">
        <f aca="false">IF('Deal Tracker'!B173="","",'Deal Tracker'!B173)</f>
        <v/>
      </c>
      <c r="D173" s="0" t="str">
        <f aca="false">IF('Deal Tracker'!B173="","",IF('Deal Tracker'!D173="","TBD","$"&amp;TEXT('Deal Tracker'!D173,"#,##0")&amp;"M"))</f>
        <v/>
      </c>
      <c r="E173" s="0" t="str">
        <f aca="false">IF('Deal Tracker'!B173="","",IF(AND(F173="",G173=""),"",F173&amp;IF(OR(F173="",G173=""),"","  ·  ")&amp;G173))</f>
        <v/>
      </c>
      <c r="F173" s="0" t="str">
        <f aca="false">IF('Deal Tracker'!F173="",IF('Deal Tracker'!G173="","",'Deal Tracker'!G173),'Deal Tracker'!F173&amp;IF('Deal Tracker'!G173="","",", "&amp;'Deal Tracker'!G173))</f>
        <v/>
      </c>
      <c r="G173" s="0" t="str">
        <f aca="false">IF('Deal Tracker'!H173="","","Target: "&amp;TEXT('Deal Tracker'!H173,"mmm yyyy"))</f>
        <v/>
      </c>
    </row>
    <row r="174" customFormat="false" ht="15" hidden="false" customHeight="false" outlineLevel="0" collapsed="false">
      <c r="A174" s="0" t="str">
        <f aca="false">IF('Deal Tracker'!C174="","",COUNTIF('Deal Tracker'!$C$2:C174,'Deal Tracker'!C174))</f>
        <v/>
      </c>
      <c r="B174" s="0" t="str">
        <f aca="false">IF(A174="","",'Deal Tracker'!C174&amp;"#"&amp;A174)</f>
        <v/>
      </c>
      <c r="C174" s="0" t="str">
        <f aca="false">IF('Deal Tracker'!B174="","",'Deal Tracker'!B174)</f>
        <v/>
      </c>
      <c r="D174" s="0" t="str">
        <f aca="false">IF('Deal Tracker'!B174="","",IF('Deal Tracker'!D174="","TBD","$"&amp;TEXT('Deal Tracker'!D174,"#,##0")&amp;"M"))</f>
        <v/>
      </c>
      <c r="E174" s="0" t="str">
        <f aca="false">IF('Deal Tracker'!B174="","",IF(AND(F174="",G174=""),"",F174&amp;IF(OR(F174="",G174=""),"","  ·  ")&amp;G174))</f>
        <v/>
      </c>
      <c r="F174" s="0" t="str">
        <f aca="false">IF('Deal Tracker'!F174="",IF('Deal Tracker'!G174="","",'Deal Tracker'!G174),'Deal Tracker'!F174&amp;IF('Deal Tracker'!G174="","",", "&amp;'Deal Tracker'!G174))</f>
        <v/>
      </c>
      <c r="G174" s="0" t="str">
        <f aca="false">IF('Deal Tracker'!H174="","","Target: "&amp;TEXT('Deal Tracker'!H174,"mmm yyyy"))</f>
        <v/>
      </c>
    </row>
    <row r="175" customFormat="false" ht="15" hidden="false" customHeight="false" outlineLevel="0" collapsed="false">
      <c r="A175" s="0" t="str">
        <f aca="false">IF('Deal Tracker'!C175="","",COUNTIF('Deal Tracker'!$C$2:C175,'Deal Tracker'!C175))</f>
        <v/>
      </c>
      <c r="B175" s="0" t="str">
        <f aca="false">IF(A175="","",'Deal Tracker'!C175&amp;"#"&amp;A175)</f>
        <v/>
      </c>
      <c r="C175" s="0" t="str">
        <f aca="false">IF('Deal Tracker'!B175="","",'Deal Tracker'!B175)</f>
        <v/>
      </c>
      <c r="D175" s="0" t="str">
        <f aca="false">IF('Deal Tracker'!B175="","",IF('Deal Tracker'!D175="","TBD","$"&amp;TEXT('Deal Tracker'!D175,"#,##0")&amp;"M"))</f>
        <v/>
      </c>
      <c r="E175" s="0" t="str">
        <f aca="false">IF('Deal Tracker'!B175="","",IF(AND(F175="",G175=""),"",F175&amp;IF(OR(F175="",G175=""),"","  ·  ")&amp;G175))</f>
        <v/>
      </c>
      <c r="F175" s="0" t="str">
        <f aca="false">IF('Deal Tracker'!F175="",IF('Deal Tracker'!G175="","",'Deal Tracker'!G175),'Deal Tracker'!F175&amp;IF('Deal Tracker'!G175="","",", "&amp;'Deal Tracker'!G175))</f>
        <v/>
      </c>
      <c r="G175" s="0" t="str">
        <f aca="false">IF('Deal Tracker'!H175="","","Target: "&amp;TEXT('Deal Tracker'!H175,"mmm yyyy"))</f>
        <v/>
      </c>
    </row>
    <row r="176" customFormat="false" ht="15" hidden="false" customHeight="false" outlineLevel="0" collapsed="false">
      <c r="A176" s="0" t="str">
        <f aca="false">IF('Deal Tracker'!C176="","",COUNTIF('Deal Tracker'!$C$2:C176,'Deal Tracker'!C176))</f>
        <v/>
      </c>
      <c r="B176" s="0" t="str">
        <f aca="false">IF(A176="","",'Deal Tracker'!C176&amp;"#"&amp;A176)</f>
        <v/>
      </c>
      <c r="C176" s="0" t="str">
        <f aca="false">IF('Deal Tracker'!B176="","",'Deal Tracker'!B176)</f>
        <v/>
      </c>
      <c r="D176" s="0" t="str">
        <f aca="false">IF('Deal Tracker'!B176="","",IF('Deal Tracker'!D176="","TBD","$"&amp;TEXT('Deal Tracker'!D176,"#,##0")&amp;"M"))</f>
        <v/>
      </c>
      <c r="E176" s="0" t="str">
        <f aca="false">IF('Deal Tracker'!B176="","",IF(AND(F176="",G176=""),"",F176&amp;IF(OR(F176="",G176=""),"","  ·  ")&amp;G176))</f>
        <v/>
      </c>
      <c r="F176" s="0" t="str">
        <f aca="false">IF('Deal Tracker'!F176="",IF('Deal Tracker'!G176="","",'Deal Tracker'!G176),'Deal Tracker'!F176&amp;IF('Deal Tracker'!G176="","",", "&amp;'Deal Tracker'!G176))</f>
        <v/>
      </c>
      <c r="G176" s="0" t="str">
        <f aca="false">IF('Deal Tracker'!H176="","","Target: "&amp;TEXT('Deal Tracker'!H176,"mmm yyyy"))</f>
        <v/>
      </c>
    </row>
    <row r="177" customFormat="false" ht="15" hidden="false" customHeight="false" outlineLevel="0" collapsed="false">
      <c r="A177" s="0" t="str">
        <f aca="false">IF('Deal Tracker'!C177="","",COUNTIF('Deal Tracker'!$C$2:C177,'Deal Tracker'!C177))</f>
        <v/>
      </c>
      <c r="B177" s="0" t="str">
        <f aca="false">IF(A177="","",'Deal Tracker'!C177&amp;"#"&amp;A177)</f>
        <v/>
      </c>
      <c r="C177" s="0" t="str">
        <f aca="false">IF('Deal Tracker'!B177="","",'Deal Tracker'!B177)</f>
        <v/>
      </c>
      <c r="D177" s="0" t="str">
        <f aca="false">IF('Deal Tracker'!B177="","",IF('Deal Tracker'!D177="","TBD","$"&amp;TEXT('Deal Tracker'!D177,"#,##0")&amp;"M"))</f>
        <v/>
      </c>
      <c r="E177" s="0" t="str">
        <f aca="false">IF('Deal Tracker'!B177="","",IF(AND(F177="",G177=""),"",F177&amp;IF(OR(F177="",G177=""),"","  ·  ")&amp;G177))</f>
        <v/>
      </c>
      <c r="F177" s="0" t="str">
        <f aca="false">IF('Deal Tracker'!F177="",IF('Deal Tracker'!G177="","",'Deal Tracker'!G177),'Deal Tracker'!F177&amp;IF('Deal Tracker'!G177="","",", "&amp;'Deal Tracker'!G177))</f>
        <v/>
      </c>
      <c r="G177" s="0" t="str">
        <f aca="false">IF('Deal Tracker'!H177="","","Target: "&amp;TEXT('Deal Tracker'!H177,"mmm yyyy"))</f>
        <v/>
      </c>
    </row>
    <row r="178" customFormat="false" ht="15" hidden="false" customHeight="false" outlineLevel="0" collapsed="false">
      <c r="A178" s="0" t="str">
        <f aca="false">IF('Deal Tracker'!C178="","",COUNTIF('Deal Tracker'!$C$2:C178,'Deal Tracker'!C178))</f>
        <v/>
      </c>
      <c r="B178" s="0" t="str">
        <f aca="false">IF(A178="","",'Deal Tracker'!C178&amp;"#"&amp;A178)</f>
        <v/>
      </c>
      <c r="C178" s="0" t="str">
        <f aca="false">IF('Deal Tracker'!B178="","",'Deal Tracker'!B178)</f>
        <v/>
      </c>
      <c r="D178" s="0" t="str">
        <f aca="false">IF('Deal Tracker'!B178="","",IF('Deal Tracker'!D178="","TBD","$"&amp;TEXT('Deal Tracker'!D178,"#,##0")&amp;"M"))</f>
        <v/>
      </c>
      <c r="E178" s="0" t="str">
        <f aca="false">IF('Deal Tracker'!B178="","",IF(AND(F178="",G178=""),"",F178&amp;IF(OR(F178="",G178=""),"","  ·  ")&amp;G178))</f>
        <v/>
      </c>
      <c r="F178" s="0" t="str">
        <f aca="false">IF('Deal Tracker'!F178="",IF('Deal Tracker'!G178="","",'Deal Tracker'!G178),'Deal Tracker'!F178&amp;IF('Deal Tracker'!G178="","",", "&amp;'Deal Tracker'!G178))</f>
        <v/>
      </c>
      <c r="G178" s="0" t="str">
        <f aca="false">IF('Deal Tracker'!H178="","","Target: "&amp;TEXT('Deal Tracker'!H178,"mmm yyyy"))</f>
        <v/>
      </c>
    </row>
    <row r="179" customFormat="false" ht="15" hidden="false" customHeight="false" outlineLevel="0" collapsed="false">
      <c r="A179" s="0" t="str">
        <f aca="false">IF('Deal Tracker'!C179="","",COUNTIF('Deal Tracker'!$C$2:C179,'Deal Tracker'!C179))</f>
        <v/>
      </c>
      <c r="B179" s="0" t="str">
        <f aca="false">IF(A179="","",'Deal Tracker'!C179&amp;"#"&amp;A179)</f>
        <v/>
      </c>
      <c r="C179" s="0" t="str">
        <f aca="false">IF('Deal Tracker'!B179="","",'Deal Tracker'!B179)</f>
        <v/>
      </c>
      <c r="D179" s="0" t="str">
        <f aca="false">IF('Deal Tracker'!B179="","",IF('Deal Tracker'!D179="","TBD","$"&amp;TEXT('Deal Tracker'!D179,"#,##0")&amp;"M"))</f>
        <v/>
      </c>
      <c r="E179" s="0" t="str">
        <f aca="false">IF('Deal Tracker'!B179="","",IF(AND(F179="",G179=""),"",F179&amp;IF(OR(F179="",G179=""),"","  ·  ")&amp;G179))</f>
        <v/>
      </c>
      <c r="F179" s="0" t="str">
        <f aca="false">IF('Deal Tracker'!F179="",IF('Deal Tracker'!G179="","",'Deal Tracker'!G179),'Deal Tracker'!F179&amp;IF('Deal Tracker'!G179="","",", "&amp;'Deal Tracker'!G179))</f>
        <v/>
      </c>
      <c r="G179" s="0" t="str">
        <f aca="false">IF('Deal Tracker'!H179="","","Target: "&amp;TEXT('Deal Tracker'!H179,"mmm yyyy"))</f>
        <v/>
      </c>
    </row>
    <row r="180" customFormat="false" ht="15" hidden="false" customHeight="false" outlineLevel="0" collapsed="false">
      <c r="A180" s="0" t="str">
        <f aca="false">IF('Deal Tracker'!C180="","",COUNTIF('Deal Tracker'!$C$2:C180,'Deal Tracker'!C180))</f>
        <v/>
      </c>
      <c r="B180" s="0" t="str">
        <f aca="false">IF(A180="","",'Deal Tracker'!C180&amp;"#"&amp;A180)</f>
        <v/>
      </c>
      <c r="C180" s="0" t="str">
        <f aca="false">IF('Deal Tracker'!B180="","",'Deal Tracker'!B180)</f>
        <v/>
      </c>
      <c r="D180" s="0" t="str">
        <f aca="false">IF('Deal Tracker'!B180="","",IF('Deal Tracker'!D180="","TBD","$"&amp;TEXT('Deal Tracker'!D180,"#,##0")&amp;"M"))</f>
        <v/>
      </c>
      <c r="E180" s="0" t="str">
        <f aca="false">IF('Deal Tracker'!B180="","",IF(AND(F180="",G180=""),"",F180&amp;IF(OR(F180="",G180=""),"","  ·  ")&amp;G180))</f>
        <v/>
      </c>
      <c r="F180" s="0" t="str">
        <f aca="false">IF('Deal Tracker'!F180="",IF('Deal Tracker'!G180="","",'Deal Tracker'!G180),'Deal Tracker'!F180&amp;IF('Deal Tracker'!G180="","",", "&amp;'Deal Tracker'!G180))</f>
        <v/>
      </c>
      <c r="G180" s="0" t="str">
        <f aca="false">IF('Deal Tracker'!H180="","","Target: "&amp;TEXT('Deal Tracker'!H180,"mmm yyyy"))</f>
        <v/>
      </c>
    </row>
    <row r="181" customFormat="false" ht="15" hidden="false" customHeight="false" outlineLevel="0" collapsed="false">
      <c r="A181" s="0" t="str">
        <f aca="false">IF('Deal Tracker'!C181="","",COUNTIF('Deal Tracker'!$C$2:C181,'Deal Tracker'!C181))</f>
        <v/>
      </c>
      <c r="B181" s="0" t="str">
        <f aca="false">IF(A181="","",'Deal Tracker'!C181&amp;"#"&amp;A181)</f>
        <v/>
      </c>
      <c r="C181" s="0" t="str">
        <f aca="false">IF('Deal Tracker'!B181="","",'Deal Tracker'!B181)</f>
        <v/>
      </c>
      <c r="D181" s="0" t="str">
        <f aca="false">IF('Deal Tracker'!B181="","",IF('Deal Tracker'!D181="","TBD","$"&amp;TEXT('Deal Tracker'!D181,"#,##0")&amp;"M"))</f>
        <v/>
      </c>
      <c r="E181" s="0" t="str">
        <f aca="false">IF('Deal Tracker'!B181="","",IF(AND(F181="",G181=""),"",F181&amp;IF(OR(F181="",G181=""),"","  ·  ")&amp;G181))</f>
        <v/>
      </c>
      <c r="F181" s="0" t="str">
        <f aca="false">IF('Deal Tracker'!F181="",IF('Deal Tracker'!G181="","",'Deal Tracker'!G181),'Deal Tracker'!F181&amp;IF('Deal Tracker'!G181="","",", "&amp;'Deal Tracker'!G181))</f>
        <v/>
      </c>
      <c r="G181" s="0" t="str">
        <f aca="false">IF('Deal Tracker'!H181="","","Target: "&amp;TEXT('Deal Tracker'!H181,"mmm yyyy"))</f>
        <v/>
      </c>
    </row>
    <row r="182" customFormat="false" ht="15" hidden="false" customHeight="false" outlineLevel="0" collapsed="false">
      <c r="A182" s="0" t="str">
        <f aca="false">IF('Deal Tracker'!C182="","",COUNTIF('Deal Tracker'!$C$2:C182,'Deal Tracker'!C182))</f>
        <v/>
      </c>
      <c r="B182" s="0" t="str">
        <f aca="false">IF(A182="","",'Deal Tracker'!C182&amp;"#"&amp;A182)</f>
        <v/>
      </c>
      <c r="C182" s="0" t="str">
        <f aca="false">IF('Deal Tracker'!B182="","",'Deal Tracker'!B182)</f>
        <v/>
      </c>
      <c r="D182" s="0" t="str">
        <f aca="false">IF('Deal Tracker'!B182="","",IF('Deal Tracker'!D182="","TBD","$"&amp;TEXT('Deal Tracker'!D182,"#,##0")&amp;"M"))</f>
        <v/>
      </c>
      <c r="E182" s="0" t="str">
        <f aca="false">IF('Deal Tracker'!B182="","",IF(AND(F182="",G182=""),"",F182&amp;IF(OR(F182="",G182=""),"","  ·  ")&amp;G182))</f>
        <v/>
      </c>
      <c r="F182" s="0" t="str">
        <f aca="false">IF('Deal Tracker'!F182="",IF('Deal Tracker'!G182="","",'Deal Tracker'!G182),'Deal Tracker'!F182&amp;IF('Deal Tracker'!G182="","",", "&amp;'Deal Tracker'!G182))</f>
        <v/>
      </c>
      <c r="G182" s="0" t="str">
        <f aca="false">IF('Deal Tracker'!H182="","","Target: "&amp;TEXT('Deal Tracker'!H182,"mmm yyyy"))</f>
        <v/>
      </c>
    </row>
    <row r="183" customFormat="false" ht="15" hidden="false" customHeight="false" outlineLevel="0" collapsed="false">
      <c r="A183" s="0" t="str">
        <f aca="false">IF('Deal Tracker'!C183="","",COUNTIF('Deal Tracker'!$C$2:C183,'Deal Tracker'!C183))</f>
        <v/>
      </c>
      <c r="B183" s="0" t="str">
        <f aca="false">IF(A183="","",'Deal Tracker'!C183&amp;"#"&amp;A183)</f>
        <v/>
      </c>
      <c r="C183" s="0" t="str">
        <f aca="false">IF('Deal Tracker'!B183="","",'Deal Tracker'!B183)</f>
        <v/>
      </c>
      <c r="D183" s="0" t="str">
        <f aca="false">IF('Deal Tracker'!B183="","",IF('Deal Tracker'!D183="","TBD","$"&amp;TEXT('Deal Tracker'!D183,"#,##0")&amp;"M"))</f>
        <v/>
      </c>
      <c r="E183" s="0" t="str">
        <f aca="false">IF('Deal Tracker'!B183="","",IF(AND(F183="",G183=""),"",F183&amp;IF(OR(F183="",G183=""),"","  ·  ")&amp;G183))</f>
        <v/>
      </c>
      <c r="F183" s="0" t="str">
        <f aca="false">IF('Deal Tracker'!F183="",IF('Deal Tracker'!G183="","",'Deal Tracker'!G183),'Deal Tracker'!F183&amp;IF('Deal Tracker'!G183="","",", "&amp;'Deal Tracker'!G183))</f>
        <v/>
      </c>
      <c r="G183" s="0" t="str">
        <f aca="false">IF('Deal Tracker'!H183="","","Target: "&amp;TEXT('Deal Tracker'!H183,"mmm yyyy"))</f>
        <v/>
      </c>
    </row>
    <row r="184" customFormat="false" ht="15" hidden="false" customHeight="false" outlineLevel="0" collapsed="false">
      <c r="A184" s="0" t="str">
        <f aca="false">IF('Deal Tracker'!C184="","",COUNTIF('Deal Tracker'!$C$2:C184,'Deal Tracker'!C184))</f>
        <v/>
      </c>
      <c r="B184" s="0" t="str">
        <f aca="false">IF(A184="","",'Deal Tracker'!C184&amp;"#"&amp;A184)</f>
        <v/>
      </c>
      <c r="C184" s="0" t="str">
        <f aca="false">IF('Deal Tracker'!B184="","",'Deal Tracker'!B184)</f>
        <v/>
      </c>
      <c r="D184" s="0" t="str">
        <f aca="false">IF('Deal Tracker'!B184="","",IF('Deal Tracker'!D184="","TBD","$"&amp;TEXT('Deal Tracker'!D184,"#,##0")&amp;"M"))</f>
        <v/>
      </c>
      <c r="E184" s="0" t="str">
        <f aca="false">IF('Deal Tracker'!B184="","",IF(AND(F184="",G184=""),"",F184&amp;IF(OR(F184="",G184=""),"","  ·  ")&amp;G184))</f>
        <v/>
      </c>
      <c r="F184" s="0" t="str">
        <f aca="false">IF('Deal Tracker'!F184="",IF('Deal Tracker'!G184="","",'Deal Tracker'!G184),'Deal Tracker'!F184&amp;IF('Deal Tracker'!G184="","",", "&amp;'Deal Tracker'!G184))</f>
        <v/>
      </c>
      <c r="G184" s="0" t="str">
        <f aca="false">IF('Deal Tracker'!H184="","","Target: "&amp;TEXT('Deal Tracker'!H184,"mmm yyyy"))</f>
        <v/>
      </c>
    </row>
    <row r="185" customFormat="false" ht="15" hidden="false" customHeight="false" outlineLevel="0" collapsed="false">
      <c r="A185" s="0" t="str">
        <f aca="false">IF('Deal Tracker'!C185="","",COUNTIF('Deal Tracker'!$C$2:C185,'Deal Tracker'!C185))</f>
        <v/>
      </c>
      <c r="B185" s="0" t="str">
        <f aca="false">IF(A185="","",'Deal Tracker'!C185&amp;"#"&amp;A185)</f>
        <v/>
      </c>
      <c r="C185" s="0" t="str">
        <f aca="false">IF('Deal Tracker'!B185="","",'Deal Tracker'!B185)</f>
        <v/>
      </c>
      <c r="D185" s="0" t="str">
        <f aca="false">IF('Deal Tracker'!B185="","",IF('Deal Tracker'!D185="","TBD","$"&amp;TEXT('Deal Tracker'!D185,"#,##0")&amp;"M"))</f>
        <v/>
      </c>
      <c r="E185" s="0" t="str">
        <f aca="false">IF('Deal Tracker'!B185="","",IF(AND(F185="",G185=""),"",F185&amp;IF(OR(F185="",G185=""),"","  ·  ")&amp;G185))</f>
        <v/>
      </c>
      <c r="F185" s="0" t="str">
        <f aca="false">IF('Deal Tracker'!F185="",IF('Deal Tracker'!G185="","",'Deal Tracker'!G185),'Deal Tracker'!F185&amp;IF('Deal Tracker'!G185="","",", "&amp;'Deal Tracker'!G185))</f>
        <v/>
      </c>
      <c r="G185" s="0" t="str">
        <f aca="false">IF('Deal Tracker'!H185="","","Target: "&amp;TEXT('Deal Tracker'!H185,"mmm yyyy"))</f>
        <v/>
      </c>
    </row>
    <row r="186" customFormat="false" ht="15" hidden="false" customHeight="false" outlineLevel="0" collapsed="false">
      <c r="A186" s="0" t="str">
        <f aca="false">IF('Deal Tracker'!C186="","",COUNTIF('Deal Tracker'!$C$2:C186,'Deal Tracker'!C186))</f>
        <v/>
      </c>
      <c r="B186" s="0" t="str">
        <f aca="false">IF(A186="","",'Deal Tracker'!C186&amp;"#"&amp;A186)</f>
        <v/>
      </c>
      <c r="C186" s="0" t="str">
        <f aca="false">IF('Deal Tracker'!B186="","",'Deal Tracker'!B186)</f>
        <v/>
      </c>
      <c r="D186" s="0" t="str">
        <f aca="false">IF('Deal Tracker'!B186="","",IF('Deal Tracker'!D186="","TBD","$"&amp;TEXT('Deal Tracker'!D186,"#,##0")&amp;"M"))</f>
        <v/>
      </c>
      <c r="E186" s="0" t="str">
        <f aca="false">IF('Deal Tracker'!B186="","",IF(AND(F186="",G186=""),"",F186&amp;IF(OR(F186="",G186=""),"","  ·  ")&amp;G186))</f>
        <v/>
      </c>
      <c r="F186" s="0" t="str">
        <f aca="false">IF('Deal Tracker'!F186="",IF('Deal Tracker'!G186="","",'Deal Tracker'!G186),'Deal Tracker'!F186&amp;IF('Deal Tracker'!G186="","",", "&amp;'Deal Tracker'!G186))</f>
        <v/>
      </c>
      <c r="G186" s="0" t="str">
        <f aca="false">IF('Deal Tracker'!H186="","","Target: "&amp;TEXT('Deal Tracker'!H186,"mmm yyyy"))</f>
        <v/>
      </c>
    </row>
    <row r="187" customFormat="false" ht="15" hidden="false" customHeight="false" outlineLevel="0" collapsed="false">
      <c r="A187" s="0" t="str">
        <f aca="false">IF('Deal Tracker'!C187="","",COUNTIF('Deal Tracker'!$C$2:C187,'Deal Tracker'!C187))</f>
        <v/>
      </c>
      <c r="B187" s="0" t="str">
        <f aca="false">IF(A187="","",'Deal Tracker'!C187&amp;"#"&amp;A187)</f>
        <v/>
      </c>
      <c r="C187" s="0" t="str">
        <f aca="false">IF('Deal Tracker'!B187="","",'Deal Tracker'!B187)</f>
        <v/>
      </c>
      <c r="D187" s="0" t="str">
        <f aca="false">IF('Deal Tracker'!B187="","",IF('Deal Tracker'!D187="","TBD","$"&amp;TEXT('Deal Tracker'!D187,"#,##0")&amp;"M"))</f>
        <v/>
      </c>
      <c r="E187" s="0" t="str">
        <f aca="false">IF('Deal Tracker'!B187="","",IF(AND(F187="",G187=""),"",F187&amp;IF(OR(F187="",G187=""),"","  ·  ")&amp;G187))</f>
        <v/>
      </c>
      <c r="F187" s="0" t="str">
        <f aca="false">IF('Deal Tracker'!F187="",IF('Deal Tracker'!G187="","",'Deal Tracker'!G187),'Deal Tracker'!F187&amp;IF('Deal Tracker'!G187="","",", "&amp;'Deal Tracker'!G187))</f>
        <v/>
      </c>
      <c r="G187" s="0" t="str">
        <f aca="false">IF('Deal Tracker'!H187="","","Target: "&amp;TEXT('Deal Tracker'!H187,"mmm yyyy"))</f>
        <v/>
      </c>
    </row>
    <row r="188" customFormat="false" ht="15" hidden="false" customHeight="false" outlineLevel="0" collapsed="false">
      <c r="A188" s="0" t="str">
        <f aca="false">IF('Deal Tracker'!C188="","",COUNTIF('Deal Tracker'!$C$2:C188,'Deal Tracker'!C188))</f>
        <v/>
      </c>
      <c r="B188" s="0" t="str">
        <f aca="false">IF(A188="","",'Deal Tracker'!C188&amp;"#"&amp;A188)</f>
        <v/>
      </c>
      <c r="C188" s="0" t="str">
        <f aca="false">IF('Deal Tracker'!B188="","",'Deal Tracker'!B188)</f>
        <v/>
      </c>
      <c r="D188" s="0" t="str">
        <f aca="false">IF('Deal Tracker'!B188="","",IF('Deal Tracker'!D188="","TBD","$"&amp;TEXT('Deal Tracker'!D188,"#,##0")&amp;"M"))</f>
        <v/>
      </c>
      <c r="E188" s="0" t="str">
        <f aca="false">IF('Deal Tracker'!B188="","",IF(AND(F188="",G188=""),"",F188&amp;IF(OR(F188="",G188=""),"","  ·  ")&amp;G188))</f>
        <v/>
      </c>
      <c r="F188" s="0" t="str">
        <f aca="false">IF('Deal Tracker'!F188="",IF('Deal Tracker'!G188="","",'Deal Tracker'!G188),'Deal Tracker'!F188&amp;IF('Deal Tracker'!G188="","",", "&amp;'Deal Tracker'!G188))</f>
        <v/>
      </c>
      <c r="G188" s="0" t="str">
        <f aca="false">IF('Deal Tracker'!H188="","","Target: "&amp;TEXT('Deal Tracker'!H188,"mmm yyyy"))</f>
        <v/>
      </c>
    </row>
    <row r="189" customFormat="false" ht="15" hidden="false" customHeight="false" outlineLevel="0" collapsed="false">
      <c r="A189" s="0" t="str">
        <f aca="false">IF('Deal Tracker'!C189="","",COUNTIF('Deal Tracker'!$C$2:C189,'Deal Tracker'!C189))</f>
        <v/>
      </c>
      <c r="B189" s="0" t="str">
        <f aca="false">IF(A189="","",'Deal Tracker'!C189&amp;"#"&amp;A189)</f>
        <v/>
      </c>
      <c r="C189" s="0" t="str">
        <f aca="false">IF('Deal Tracker'!B189="","",'Deal Tracker'!B189)</f>
        <v/>
      </c>
      <c r="D189" s="0" t="str">
        <f aca="false">IF('Deal Tracker'!B189="","",IF('Deal Tracker'!D189="","TBD","$"&amp;TEXT('Deal Tracker'!D189,"#,##0")&amp;"M"))</f>
        <v/>
      </c>
      <c r="E189" s="0" t="str">
        <f aca="false">IF('Deal Tracker'!B189="","",IF(AND(F189="",G189=""),"",F189&amp;IF(OR(F189="",G189=""),"","  ·  ")&amp;G189))</f>
        <v/>
      </c>
      <c r="F189" s="0" t="str">
        <f aca="false">IF('Deal Tracker'!F189="",IF('Deal Tracker'!G189="","",'Deal Tracker'!G189),'Deal Tracker'!F189&amp;IF('Deal Tracker'!G189="","",", "&amp;'Deal Tracker'!G189))</f>
        <v/>
      </c>
      <c r="G189" s="0" t="str">
        <f aca="false">IF('Deal Tracker'!H189="","","Target: "&amp;TEXT('Deal Tracker'!H189,"mmm yyyy"))</f>
        <v/>
      </c>
    </row>
    <row r="190" customFormat="false" ht="15" hidden="false" customHeight="false" outlineLevel="0" collapsed="false">
      <c r="A190" s="0" t="str">
        <f aca="false">IF('Deal Tracker'!C190="","",COUNTIF('Deal Tracker'!$C$2:C190,'Deal Tracker'!C190))</f>
        <v/>
      </c>
      <c r="B190" s="0" t="str">
        <f aca="false">IF(A190="","",'Deal Tracker'!C190&amp;"#"&amp;A190)</f>
        <v/>
      </c>
      <c r="C190" s="0" t="str">
        <f aca="false">IF('Deal Tracker'!B190="","",'Deal Tracker'!B190)</f>
        <v/>
      </c>
      <c r="D190" s="0" t="str">
        <f aca="false">IF('Deal Tracker'!B190="","",IF('Deal Tracker'!D190="","TBD","$"&amp;TEXT('Deal Tracker'!D190,"#,##0")&amp;"M"))</f>
        <v/>
      </c>
      <c r="E190" s="0" t="str">
        <f aca="false">IF('Deal Tracker'!B190="","",IF(AND(F190="",G190=""),"",F190&amp;IF(OR(F190="",G190=""),"","  ·  ")&amp;G190))</f>
        <v/>
      </c>
      <c r="F190" s="0" t="str">
        <f aca="false">IF('Deal Tracker'!F190="",IF('Deal Tracker'!G190="","",'Deal Tracker'!G190),'Deal Tracker'!F190&amp;IF('Deal Tracker'!G190="","",", "&amp;'Deal Tracker'!G190))</f>
        <v/>
      </c>
      <c r="G190" s="0" t="str">
        <f aca="false">IF('Deal Tracker'!H190="","","Target: "&amp;TEXT('Deal Tracker'!H190,"mmm yyyy"))</f>
        <v/>
      </c>
    </row>
    <row r="191" customFormat="false" ht="15" hidden="false" customHeight="false" outlineLevel="0" collapsed="false">
      <c r="A191" s="0" t="str">
        <f aca="false">IF('Deal Tracker'!C191="","",COUNTIF('Deal Tracker'!$C$2:C191,'Deal Tracker'!C191))</f>
        <v/>
      </c>
      <c r="B191" s="0" t="str">
        <f aca="false">IF(A191="","",'Deal Tracker'!C191&amp;"#"&amp;A191)</f>
        <v/>
      </c>
      <c r="C191" s="0" t="str">
        <f aca="false">IF('Deal Tracker'!B191="","",'Deal Tracker'!B191)</f>
        <v/>
      </c>
      <c r="D191" s="0" t="str">
        <f aca="false">IF('Deal Tracker'!B191="","",IF('Deal Tracker'!D191="","TBD","$"&amp;TEXT('Deal Tracker'!D191,"#,##0")&amp;"M"))</f>
        <v/>
      </c>
      <c r="E191" s="0" t="str">
        <f aca="false">IF('Deal Tracker'!B191="","",IF(AND(F191="",G191=""),"",F191&amp;IF(OR(F191="",G191=""),"","  ·  ")&amp;G191))</f>
        <v/>
      </c>
      <c r="F191" s="0" t="str">
        <f aca="false">IF('Deal Tracker'!F191="",IF('Deal Tracker'!G191="","",'Deal Tracker'!G191),'Deal Tracker'!F191&amp;IF('Deal Tracker'!G191="","",", "&amp;'Deal Tracker'!G191))</f>
        <v/>
      </c>
      <c r="G191" s="0" t="str">
        <f aca="false">IF('Deal Tracker'!H191="","","Target: "&amp;TEXT('Deal Tracker'!H191,"mmm yyyy"))</f>
        <v/>
      </c>
    </row>
    <row r="192" customFormat="false" ht="15" hidden="false" customHeight="false" outlineLevel="0" collapsed="false">
      <c r="A192" s="0" t="str">
        <f aca="false">IF('Deal Tracker'!C192="","",COUNTIF('Deal Tracker'!$C$2:C192,'Deal Tracker'!C192))</f>
        <v/>
      </c>
      <c r="B192" s="0" t="str">
        <f aca="false">IF(A192="","",'Deal Tracker'!C192&amp;"#"&amp;A192)</f>
        <v/>
      </c>
      <c r="C192" s="0" t="str">
        <f aca="false">IF('Deal Tracker'!B192="","",'Deal Tracker'!B192)</f>
        <v/>
      </c>
      <c r="D192" s="0" t="str">
        <f aca="false">IF('Deal Tracker'!B192="","",IF('Deal Tracker'!D192="","TBD","$"&amp;TEXT('Deal Tracker'!D192,"#,##0")&amp;"M"))</f>
        <v/>
      </c>
      <c r="E192" s="0" t="str">
        <f aca="false">IF('Deal Tracker'!B192="","",IF(AND(F192="",G192=""),"",F192&amp;IF(OR(F192="",G192=""),"","  ·  ")&amp;G192))</f>
        <v/>
      </c>
      <c r="F192" s="0" t="str">
        <f aca="false">IF('Deal Tracker'!F192="",IF('Deal Tracker'!G192="","",'Deal Tracker'!G192),'Deal Tracker'!F192&amp;IF('Deal Tracker'!G192="","",", "&amp;'Deal Tracker'!G192))</f>
        <v/>
      </c>
      <c r="G192" s="0" t="str">
        <f aca="false">IF('Deal Tracker'!H192="","","Target: "&amp;TEXT('Deal Tracker'!H192,"mmm yyyy"))</f>
        <v/>
      </c>
    </row>
    <row r="193" customFormat="false" ht="15" hidden="false" customHeight="false" outlineLevel="0" collapsed="false">
      <c r="A193" s="0" t="str">
        <f aca="false">IF('Deal Tracker'!C193="","",COUNTIF('Deal Tracker'!$C$2:C193,'Deal Tracker'!C193))</f>
        <v/>
      </c>
      <c r="B193" s="0" t="str">
        <f aca="false">IF(A193="","",'Deal Tracker'!C193&amp;"#"&amp;A193)</f>
        <v/>
      </c>
      <c r="C193" s="0" t="str">
        <f aca="false">IF('Deal Tracker'!B193="","",'Deal Tracker'!B193)</f>
        <v/>
      </c>
      <c r="D193" s="0" t="str">
        <f aca="false">IF('Deal Tracker'!B193="","",IF('Deal Tracker'!D193="","TBD","$"&amp;TEXT('Deal Tracker'!D193,"#,##0")&amp;"M"))</f>
        <v/>
      </c>
      <c r="E193" s="0" t="str">
        <f aca="false">IF('Deal Tracker'!B193="","",IF(AND(F193="",G193=""),"",F193&amp;IF(OR(F193="",G193=""),"","  ·  ")&amp;G193))</f>
        <v/>
      </c>
      <c r="F193" s="0" t="str">
        <f aca="false">IF('Deal Tracker'!F193="",IF('Deal Tracker'!G193="","",'Deal Tracker'!G193),'Deal Tracker'!F193&amp;IF('Deal Tracker'!G193="","",", "&amp;'Deal Tracker'!G193))</f>
        <v/>
      </c>
      <c r="G193" s="0" t="str">
        <f aca="false">IF('Deal Tracker'!H193="","","Target: "&amp;TEXT('Deal Tracker'!H193,"mmm yyyy"))</f>
        <v/>
      </c>
    </row>
    <row r="194" customFormat="false" ht="15" hidden="false" customHeight="false" outlineLevel="0" collapsed="false">
      <c r="A194" s="0" t="str">
        <f aca="false">IF('Deal Tracker'!C194="","",COUNTIF('Deal Tracker'!$C$2:C194,'Deal Tracker'!C194))</f>
        <v/>
      </c>
      <c r="B194" s="0" t="str">
        <f aca="false">IF(A194="","",'Deal Tracker'!C194&amp;"#"&amp;A194)</f>
        <v/>
      </c>
      <c r="C194" s="0" t="str">
        <f aca="false">IF('Deal Tracker'!B194="","",'Deal Tracker'!B194)</f>
        <v/>
      </c>
      <c r="D194" s="0" t="str">
        <f aca="false">IF('Deal Tracker'!B194="","",IF('Deal Tracker'!D194="","TBD","$"&amp;TEXT('Deal Tracker'!D194,"#,##0")&amp;"M"))</f>
        <v/>
      </c>
      <c r="E194" s="0" t="str">
        <f aca="false">IF('Deal Tracker'!B194="","",IF(AND(F194="",G194=""),"",F194&amp;IF(OR(F194="",G194=""),"","  ·  ")&amp;G194))</f>
        <v/>
      </c>
      <c r="F194" s="0" t="str">
        <f aca="false">IF('Deal Tracker'!F194="",IF('Deal Tracker'!G194="","",'Deal Tracker'!G194),'Deal Tracker'!F194&amp;IF('Deal Tracker'!G194="","",", "&amp;'Deal Tracker'!G194))</f>
        <v/>
      </c>
      <c r="G194" s="0" t="str">
        <f aca="false">IF('Deal Tracker'!H194="","","Target: "&amp;TEXT('Deal Tracker'!H194,"mmm yyyy"))</f>
        <v/>
      </c>
    </row>
    <row r="195" customFormat="false" ht="15" hidden="false" customHeight="false" outlineLevel="0" collapsed="false">
      <c r="A195" s="0" t="str">
        <f aca="false">IF('Deal Tracker'!C195="","",COUNTIF('Deal Tracker'!$C$2:C195,'Deal Tracker'!C195))</f>
        <v/>
      </c>
      <c r="B195" s="0" t="str">
        <f aca="false">IF(A195="","",'Deal Tracker'!C195&amp;"#"&amp;A195)</f>
        <v/>
      </c>
      <c r="C195" s="0" t="str">
        <f aca="false">IF('Deal Tracker'!B195="","",'Deal Tracker'!B195)</f>
        <v/>
      </c>
      <c r="D195" s="0" t="str">
        <f aca="false">IF('Deal Tracker'!B195="","",IF('Deal Tracker'!D195="","TBD","$"&amp;TEXT('Deal Tracker'!D195,"#,##0")&amp;"M"))</f>
        <v/>
      </c>
      <c r="E195" s="0" t="str">
        <f aca="false">IF('Deal Tracker'!B195="","",IF(AND(F195="",G195=""),"",F195&amp;IF(OR(F195="",G195=""),"","  ·  ")&amp;G195))</f>
        <v/>
      </c>
      <c r="F195" s="0" t="str">
        <f aca="false">IF('Deal Tracker'!F195="",IF('Deal Tracker'!G195="","",'Deal Tracker'!G195),'Deal Tracker'!F195&amp;IF('Deal Tracker'!G195="","",", "&amp;'Deal Tracker'!G195))</f>
        <v/>
      </c>
      <c r="G195" s="0" t="str">
        <f aca="false">IF('Deal Tracker'!H195="","","Target: "&amp;TEXT('Deal Tracker'!H195,"mmm yyyy"))</f>
        <v/>
      </c>
    </row>
    <row r="196" customFormat="false" ht="15" hidden="false" customHeight="false" outlineLevel="0" collapsed="false">
      <c r="A196" s="0" t="str">
        <f aca="false">IF('Deal Tracker'!C196="","",COUNTIF('Deal Tracker'!$C$2:C196,'Deal Tracker'!C196))</f>
        <v/>
      </c>
      <c r="B196" s="0" t="str">
        <f aca="false">IF(A196="","",'Deal Tracker'!C196&amp;"#"&amp;A196)</f>
        <v/>
      </c>
      <c r="C196" s="0" t="str">
        <f aca="false">IF('Deal Tracker'!B196="","",'Deal Tracker'!B196)</f>
        <v/>
      </c>
      <c r="D196" s="0" t="str">
        <f aca="false">IF('Deal Tracker'!B196="","",IF('Deal Tracker'!D196="","TBD","$"&amp;TEXT('Deal Tracker'!D196,"#,##0")&amp;"M"))</f>
        <v/>
      </c>
      <c r="E196" s="0" t="str">
        <f aca="false">IF('Deal Tracker'!B196="","",IF(AND(F196="",G196=""),"",F196&amp;IF(OR(F196="",G196=""),"","  ·  ")&amp;G196))</f>
        <v/>
      </c>
      <c r="F196" s="0" t="str">
        <f aca="false">IF('Deal Tracker'!F196="",IF('Deal Tracker'!G196="","",'Deal Tracker'!G196),'Deal Tracker'!F196&amp;IF('Deal Tracker'!G196="","",", "&amp;'Deal Tracker'!G196))</f>
        <v/>
      </c>
      <c r="G196" s="0" t="str">
        <f aca="false">IF('Deal Tracker'!H196="","","Target: "&amp;TEXT('Deal Tracker'!H196,"mmm yyyy"))</f>
        <v/>
      </c>
    </row>
    <row r="197" customFormat="false" ht="15" hidden="false" customHeight="false" outlineLevel="0" collapsed="false">
      <c r="A197" s="0" t="str">
        <f aca="false">IF('Deal Tracker'!C197="","",COUNTIF('Deal Tracker'!$C$2:C197,'Deal Tracker'!C197))</f>
        <v/>
      </c>
      <c r="B197" s="0" t="str">
        <f aca="false">IF(A197="","",'Deal Tracker'!C197&amp;"#"&amp;A197)</f>
        <v/>
      </c>
      <c r="C197" s="0" t="str">
        <f aca="false">IF('Deal Tracker'!B197="","",'Deal Tracker'!B197)</f>
        <v/>
      </c>
      <c r="D197" s="0" t="str">
        <f aca="false">IF('Deal Tracker'!B197="","",IF('Deal Tracker'!D197="","TBD","$"&amp;TEXT('Deal Tracker'!D197,"#,##0")&amp;"M"))</f>
        <v/>
      </c>
      <c r="E197" s="0" t="str">
        <f aca="false">IF('Deal Tracker'!B197="","",IF(AND(F197="",G197=""),"",F197&amp;IF(OR(F197="",G197=""),"","  ·  ")&amp;G197))</f>
        <v/>
      </c>
      <c r="F197" s="0" t="str">
        <f aca="false">IF('Deal Tracker'!F197="",IF('Deal Tracker'!G197="","",'Deal Tracker'!G197),'Deal Tracker'!F197&amp;IF('Deal Tracker'!G197="","",", "&amp;'Deal Tracker'!G197))</f>
        <v/>
      </c>
      <c r="G197" s="0" t="str">
        <f aca="false">IF('Deal Tracker'!H197="","","Target: "&amp;TEXT('Deal Tracker'!H197,"mmm yyyy"))</f>
        <v/>
      </c>
    </row>
    <row r="198" customFormat="false" ht="15" hidden="false" customHeight="false" outlineLevel="0" collapsed="false">
      <c r="A198" s="0" t="str">
        <f aca="false">IF('Deal Tracker'!C198="","",COUNTIF('Deal Tracker'!$C$2:C198,'Deal Tracker'!C198))</f>
        <v/>
      </c>
      <c r="B198" s="0" t="str">
        <f aca="false">IF(A198="","",'Deal Tracker'!C198&amp;"#"&amp;A198)</f>
        <v/>
      </c>
      <c r="C198" s="0" t="str">
        <f aca="false">IF('Deal Tracker'!B198="","",'Deal Tracker'!B198)</f>
        <v/>
      </c>
      <c r="D198" s="0" t="str">
        <f aca="false">IF('Deal Tracker'!B198="","",IF('Deal Tracker'!D198="","TBD","$"&amp;TEXT('Deal Tracker'!D198,"#,##0")&amp;"M"))</f>
        <v/>
      </c>
      <c r="E198" s="0" t="str">
        <f aca="false">IF('Deal Tracker'!B198="","",IF(AND(F198="",G198=""),"",F198&amp;IF(OR(F198="",G198=""),"","  ·  ")&amp;G198))</f>
        <v/>
      </c>
      <c r="F198" s="0" t="str">
        <f aca="false">IF('Deal Tracker'!F198="",IF('Deal Tracker'!G198="","",'Deal Tracker'!G198),'Deal Tracker'!F198&amp;IF('Deal Tracker'!G198="","",", "&amp;'Deal Tracker'!G198))</f>
        <v/>
      </c>
      <c r="G198" s="0" t="str">
        <f aca="false">IF('Deal Tracker'!H198="","","Target: "&amp;TEXT('Deal Tracker'!H198,"mmm yyyy"))</f>
        <v/>
      </c>
    </row>
    <row r="199" customFormat="false" ht="15" hidden="false" customHeight="false" outlineLevel="0" collapsed="false">
      <c r="A199" s="0" t="str">
        <f aca="false">IF('Deal Tracker'!C199="","",COUNTIF('Deal Tracker'!$C$2:C199,'Deal Tracker'!C199))</f>
        <v/>
      </c>
      <c r="B199" s="0" t="str">
        <f aca="false">IF(A199="","",'Deal Tracker'!C199&amp;"#"&amp;A199)</f>
        <v/>
      </c>
      <c r="C199" s="0" t="str">
        <f aca="false">IF('Deal Tracker'!B199="","",'Deal Tracker'!B199)</f>
        <v/>
      </c>
      <c r="D199" s="0" t="str">
        <f aca="false">IF('Deal Tracker'!B199="","",IF('Deal Tracker'!D199="","TBD","$"&amp;TEXT('Deal Tracker'!D199,"#,##0")&amp;"M"))</f>
        <v/>
      </c>
      <c r="E199" s="0" t="str">
        <f aca="false">IF('Deal Tracker'!B199="","",IF(AND(F199="",G199=""),"",F199&amp;IF(OR(F199="",G199=""),"","  ·  ")&amp;G199))</f>
        <v/>
      </c>
      <c r="F199" s="0" t="str">
        <f aca="false">IF('Deal Tracker'!F199="",IF('Deal Tracker'!G199="","",'Deal Tracker'!G199),'Deal Tracker'!F199&amp;IF('Deal Tracker'!G199="","",", "&amp;'Deal Tracker'!G199))</f>
        <v/>
      </c>
      <c r="G199" s="0" t="str">
        <f aca="false">IF('Deal Tracker'!H199="","","Target: "&amp;TEXT('Deal Tracker'!H199,"mmm yyyy"))</f>
        <v/>
      </c>
    </row>
    <row r="200" customFormat="false" ht="15" hidden="false" customHeight="false" outlineLevel="0" collapsed="false">
      <c r="A200" s="0" t="str">
        <f aca="false">IF('Deal Tracker'!C200="","",COUNTIF('Deal Tracker'!$C$2:C200,'Deal Tracker'!C200))</f>
        <v/>
      </c>
      <c r="B200" s="0" t="str">
        <f aca="false">IF(A200="","",'Deal Tracker'!C200&amp;"#"&amp;A200)</f>
        <v/>
      </c>
      <c r="C200" s="0" t="str">
        <f aca="false">IF('Deal Tracker'!B200="","",'Deal Tracker'!B200)</f>
        <v/>
      </c>
      <c r="D200" s="0" t="str">
        <f aca="false">IF('Deal Tracker'!B200="","",IF('Deal Tracker'!D200="","TBD","$"&amp;TEXT('Deal Tracker'!D200,"#,##0")&amp;"M"))</f>
        <v/>
      </c>
      <c r="E200" s="0" t="str">
        <f aca="false">IF('Deal Tracker'!B200="","",IF(AND(F200="",G200=""),"",F200&amp;IF(OR(F200="",G200=""),"","  ·  ")&amp;G200))</f>
        <v/>
      </c>
      <c r="F200" s="0" t="str">
        <f aca="false">IF('Deal Tracker'!F200="",IF('Deal Tracker'!G200="","",'Deal Tracker'!G200),'Deal Tracker'!F200&amp;IF('Deal Tracker'!G200="","",", "&amp;'Deal Tracker'!G200))</f>
        <v/>
      </c>
      <c r="G200" s="0" t="str">
        <f aca="false">IF('Deal Tracker'!H200="","","Target: "&amp;TEXT('Deal Tracker'!H200,"mmm yyyy"))</f>
        <v/>
      </c>
    </row>
    <row r="201" customFormat="false" ht="15" hidden="false" customHeight="false" outlineLevel="0" collapsed="false">
      <c r="A201" s="0" t="str">
        <f aca="false">IF('Deal Tracker'!C201="","",COUNTIF('Deal Tracker'!$C$2:C201,'Deal Tracker'!C201))</f>
        <v/>
      </c>
      <c r="B201" s="0" t="str">
        <f aca="false">IF(A201="","",'Deal Tracker'!C201&amp;"#"&amp;A201)</f>
        <v/>
      </c>
      <c r="C201" s="0" t="str">
        <f aca="false">IF('Deal Tracker'!B201="","",'Deal Tracker'!B201)</f>
        <v/>
      </c>
      <c r="D201" s="0" t="str">
        <f aca="false">IF('Deal Tracker'!B201="","",IF('Deal Tracker'!D201="","TBD","$"&amp;TEXT('Deal Tracker'!D201,"#,##0")&amp;"M"))</f>
        <v/>
      </c>
      <c r="E201" s="0" t="str">
        <f aca="false">IF('Deal Tracker'!B201="","",IF(AND(F201="",G201=""),"",F201&amp;IF(OR(F201="",G201=""),"","  ·  ")&amp;G201))</f>
        <v/>
      </c>
      <c r="F201" s="0" t="str">
        <f aca="false">IF('Deal Tracker'!F201="",IF('Deal Tracker'!G201="","",'Deal Tracker'!G201),'Deal Tracker'!F201&amp;IF('Deal Tracker'!G201="","",", "&amp;'Deal Tracker'!G201))</f>
        <v/>
      </c>
      <c r="G201" s="0" t="str">
        <f aca="false">IF('Deal Tracker'!H201="","","Target: "&amp;TEXT('Deal Tracker'!H201,"mmm yyyy"))</f>
        <v/>
      </c>
    </row>
    <row r="202" customFormat="false" ht="15" hidden="false" customHeight="false" outlineLevel="0" collapsed="false">
      <c r="A202" s="0" t="str">
        <f aca="false">IF('Deal Tracker'!C202="","",COUNTIF('Deal Tracker'!$C$2:C202,'Deal Tracker'!C202))</f>
        <v/>
      </c>
      <c r="B202" s="0" t="str">
        <f aca="false">IF(A202="","",'Deal Tracker'!C202&amp;"#"&amp;A202)</f>
        <v/>
      </c>
      <c r="C202" s="0" t="str">
        <f aca="false">IF('Deal Tracker'!B202="","",'Deal Tracker'!B202)</f>
        <v/>
      </c>
      <c r="D202" s="0" t="str">
        <f aca="false">IF('Deal Tracker'!B202="","",IF('Deal Tracker'!D202="","TBD","$"&amp;TEXT('Deal Tracker'!D202,"#,##0")&amp;"M"))</f>
        <v/>
      </c>
      <c r="E202" s="0" t="str">
        <f aca="false">IF('Deal Tracker'!B202="","",IF(AND(F202="",G202=""),"",F202&amp;IF(OR(F202="",G202=""),"","  ·  ")&amp;G202))</f>
        <v/>
      </c>
      <c r="F202" s="0" t="str">
        <f aca="false">IF('Deal Tracker'!F202="",IF('Deal Tracker'!G202="","",'Deal Tracker'!G202),'Deal Tracker'!F202&amp;IF('Deal Tracker'!G202="","",", "&amp;'Deal Tracker'!G202))</f>
        <v/>
      </c>
      <c r="G202" s="0" t="str">
        <f aca="false">IF('Deal Tracker'!H202="","","Target: "&amp;TEXT('Deal Tracker'!H202,"mmm yyyy"))</f>
        <v/>
      </c>
    </row>
    <row r="203" customFormat="false" ht="15" hidden="false" customHeight="false" outlineLevel="0" collapsed="false">
      <c r="A203" s="0" t="str">
        <f aca="false">IF('Deal Tracker'!C203="","",COUNTIF('Deal Tracker'!$C$2:C203,'Deal Tracker'!C203))</f>
        <v/>
      </c>
      <c r="B203" s="0" t="str">
        <f aca="false">IF(A203="","",'Deal Tracker'!C203&amp;"#"&amp;A203)</f>
        <v/>
      </c>
      <c r="C203" s="0" t="str">
        <f aca="false">IF('Deal Tracker'!B203="","",'Deal Tracker'!B203)</f>
        <v/>
      </c>
      <c r="D203" s="0" t="str">
        <f aca="false">IF('Deal Tracker'!B203="","",IF('Deal Tracker'!D203="","TBD","$"&amp;TEXT('Deal Tracker'!D203,"#,##0")&amp;"M"))</f>
        <v/>
      </c>
      <c r="E203" s="0" t="str">
        <f aca="false">IF('Deal Tracker'!B203="","",IF(AND(F203="",G203=""),"",F203&amp;IF(OR(F203="",G203=""),"","  ·  ")&amp;G203))</f>
        <v/>
      </c>
      <c r="F203" s="0" t="str">
        <f aca="false">IF('Deal Tracker'!F203="",IF('Deal Tracker'!G203="","",'Deal Tracker'!G203),'Deal Tracker'!F203&amp;IF('Deal Tracker'!G203="","",", "&amp;'Deal Tracker'!G203))</f>
        <v/>
      </c>
      <c r="G203" s="0" t="str">
        <f aca="false">IF('Deal Tracker'!H203="","","Target: "&amp;TEXT('Deal Tracker'!H203,"mmm yyyy"))</f>
        <v/>
      </c>
    </row>
    <row r="204" customFormat="false" ht="15" hidden="false" customHeight="false" outlineLevel="0" collapsed="false">
      <c r="A204" s="0" t="str">
        <f aca="false">IF('Deal Tracker'!C204="","",COUNTIF('Deal Tracker'!$C$2:C204,'Deal Tracker'!C204))</f>
        <v/>
      </c>
      <c r="B204" s="0" t="str">
        <f aca="false">IF(A204="","",'Deal Tracker'!C204&amp;"#"&amp;A204)</f>
        <v/>
      </c>
      <c r="C204" s="0" t="str">
        <f aca="false">IF('Deal Tracker'!B204="","",'Deal Tracker'!B204)</f>
        <v/>
      </c>
      <c r="D204" s="0" t="str">
        <f aca="false">IF('Deal Tracker'!B204="","",IF('Deal Tracker'!D204="","TBD","$"&amp;TEXT('Deal Tracker'!D204,"#,##0")&amp;"M"))</f>
        <v/>
      </c>
      <c r="E204" s="0" t="str">
        <f aca="false">IF('Deal Tracker'!B204="","",IF(AND(F204="",G204=""),"",F204&amp;IF(OR(F204="",G204=""),"","  ·  ")&amp;G204))</f>
        <v/>
      </c>
      <c r="F204" s="0" t="str">
        <f aca="false">IF('Deal Tracker'!F204="",IF('Deal Tracker'!G204="","",'Deal Tracker'!G204),'Deal Tracker'!F204&amp;IF('Deal Tracker'!G204="","",", "&amp;'Deal Tracker'!G204))</f>
        <v/>
      </c>
      <c r="G204" s="0" t="str">
        <f aca="false">IF('Deal Tracker'!H204="","","Target: "&amp;TEXT('Deal Tracker'!H204,"mmm yyyy"))</f>
        <v/>
      </c>
    </row>
    <row r="205" customFormat="false" ht="15" hidden="false" customHeight="false" outlineLevel="0" collapsed="false">
      <c r="A205" s="0" t="str">
        <f aca="false">IF('Deal Tracker'!C205="","",COUNTIF('Deal Tracker'!$C$2:C205,'Deal Tracker'!C205))</f>
        <v/>
      </c>
      <c r="B205" s="0" t="str">
        <f aca="false">IF(A205="","",'Deal Tracker'!C205&amp;"#"&amp;A205)</f>
        <v/>
      </c>
      <c r="C205" s="0" t="str">
        <f aca="false">IF('Deal Tracker'!B205="","",'Deal Tracker'!B205)</f>
        <v/>
      </c>
      <c r="D205" s="0" t="str">
        <f aca="false">IF('Deal Tracker'!B205="","",IF('Deal Tracker'!D205="","TBD","$"&amp;TEXT('Deal Tracker'!D205,"#,##0")&amp;"M"))</f>
        <v/>
      </c>
      <c r="E205" s="0" t="str">
        <f aca="false">IF('Deal Tracker'!B205="","",IF(AND(F205="",G205=""),"",F205&amp;IF(OR(F205="",G205=""),"","  ·  ")&amp;G205))</f>
        <v/>
      </c>
      <c r="F205" s="0" t="str">
        <f aca="false">IF('Deal Tracker'!F205="",IF('Deal Tracker'!G205="","",'Deal Tracker'!G205),'Deal Tracker'!F205&amp;IF('Deal Tracker'!G205="","",", "&amp;'Deal Tracker'!G205))</f>
        <v/>
      </c>
      <c r="G205" s="0" t="str">
        <f aca="false">IF('Deal Tracker'!H205="","","Target: "&amp;TEXT('Deal Tracker'!H205,"mmm yyyy"))</f>
        <v/>
      </c>
    </row>
    <row r="206" customFormat="false" ht="15" hidden="false" customHeight="false" outlineLevel="0" collapsed="false">
      <c r="A206" s="0" t="str">
        <f aca="false">IF('Deal Tracker'!C206="","",COUNTIF('Deal Tracker'!$C$2:C206,'Deal Tracker'!C206))</f>
        <v/>
      </c>
      <c r="B206" s="0" t="str">
        <f aca="false">IF(A206="","",'Deal Tracker'!C206&amp;"#"&amp;A206)</f>
        <v/>
      </c>
      <c r="C206" s="0" t="str">
        <f aca="false">IF('Deal Tracker'!B206="","",'Deal Tracker'!B206)</f>
        <v/>
      </c>
      <c r="D206" s="0" t="str">
        <f aca="false">IF('Deal Tracker'!B206="","",IF('Deal Tracker'!D206="","TBD","$"&amp;TEXT('Deal Tracker'!D206,"#,##0")&amp;"M"))</f>
        <v/>
      </c>
      <c r="E206" s="0" t="str">
        <f aca="false">IF('Deal Tracker'!B206="","",IF(AND(F206="",G206=""),"",F206&amp;IF(OR(F206="",G206=""),"","  ·  ")&amp;G206))</f>
        <v/>
      </c>
      <c r="F206" s="0" t="str">
        <f aca="false">IF('Deal Tracker'!F206="",IF('Deal Tracker'!G206="","",'Deal Tracker'!G206),'Deal Tracker'!F206&amp;IF('Deal Tracker'!G206="","",", "&amp;'Deal Tracker'!G206))</f>
        <v/>
      </c>
      <c r="G206" s="0" t="str">
        <f aca="false">IF('Deal Tracker'!H206="","","Target: "&amp;TEXT('Deal Tracker'!H206,"mmm yyyy"))</f>
        <v/>
      </c>
    </row>
    <row r="207" customFormat="false" ht="15" hidden="false" customHeight="false" outlineLevel="0" collapsed="false">
      <c r="A207" s="0" t="str">
        <f aca="false">IF('Deal Tracker'!C207="","",COUNTIF('Deal Tracker'!$C$2:C207,'Deal Tracker'!C207))</f>
        <v/>
      </c>
      <c r="B207" s="0" t="str">
        <f aca="false">IF(A207="","",'Deal Tracker'!C207&amp;"#"&amp;A207)</f>
        <v/>
      </c>
      <c r="C207" s="0" t="str">
        <f aca="false">IF('Deal Tracker'!B207="","",'Deal Tracker'!B207)</f>
        <v/>
      </c>
      <c r="D207" s="0" t="str">
        <f aca="false">IF('Deal Tracker'!B207="","",IF('Deal Tracker'!D207="","TBD","$"&amp;TEXT('Deal Tracker'!D207,"#,##0")&amp;"M"))</f>
        <v/>
      </c>
      <c r="E207" s="0" t="str">
        <f aca="false">IF('Deal Tracker'!B207="","",IF(AND(F207="",G207=""),"",F207&amp;IF(OR(F207="",G207=""),"","  ·  ")&amp;G207))</f>
        <v/>
      </c>
      <c r="F207" s="0" t="str">
        <f aca="false">IF('Deal Tracker'!F207="",IF('Deal Tracker'!G207="","",'Deal Tracker'!G207),'Deal Tracker'!F207&amp;IF('Deal Tracker'!G207="","",", "&amp;'Deal Tracker'!G207))</f>
        <v/>
      </c>
      <c r="G207" s="0" t="str">
        <f aca="false">IF('Deal Tracker'!H207="","","Target: "&amp;TEXT('Deal Tracker'!H207,"mmm yyyy"))</f>
        <v/>
      </c>
    </row>
    <row r="208" customFormat="false" ht="15" hidden="false" customHeight="false" outlineLevel="0" collapsed="false">
      <c r="A208" s="0" t="str">
        <f aca="false">IF('Deal Tracker'!C208="","",COUNTIF('Deal Tracker'!$C$2:C208,'Deal Tracker'!C208))</f>
        <v/>
      </c>
      <c r="B208" s="0" t="str">
        <f aca="false">IF(A208="","",'Deal Tracker'!C208&amp;"#"&amp;A208)</f>
        <v/>
      </c>
      <c r="C208" s="0" t="str">
        <f aca="false">IF('Deal Tracker'!B208="","",'Deal Tracker'!B208)</f>
        <v/>
      </c>
      <c r="D208" s="0" t="str">
        <f aca="false">IF('Deal Tracker'!B208="","",IF('Deal Tracker'!D208="","TBD","$"&amp;TEXT('Deal Tracker'!D208,"#,##0")&amp;"M"))</f>
        <v/>
      </c>
      <c r="E208" s="0" t="str">
        <f aca="false">IF('Deal Tracker'!B208="","",IF(AND(F208="",G208=""),"",F208&amp;IF(OR(F208="",G208=""),"","  ·  ")&amp;G208))</f>
        <v/>
      </c>
      <c r="F208" s="0" t="str">
        <f aca="false">IF('Deal Tracker'!F208="",IF('Deal Tracker'!G208="","",'Deal Tracker'!G208),'Deal Tracker'!F208&amp;IF('Deal Tracker'!G208="","",", "&amp;'Deal Tracker'!G208))</f>
        <v/>
      </c>
      <c r="G208" s="0" t="str">
        <f aca="false">IF('Deal Tracker'!H208="","","Target: "&amp;TEXT('Deal Tracker'!H208,"mmm yyyy"))</f>
        <v/>
      </c>
    </row>
    <row r="209" customFormat="false" ht="15" hidden="false" customHeight="false" outlineLevel="0" collapsed="false">
      <c r="A209" s="0" t="str">
        <f aca="false">IF('Deal Tracker'!C209="","",COUNTIF('Deal Tracker'!$C$2:C209,'Deal Tracker'!C209))</f>
        <v/>
      </c>
      <c r="B209" s="0" t="str">
        <f aca="false">IF(A209="","",'Deal Tracker'!C209&amp;"#"&amp;A209)</f>
        <v/>
      </c>
      <c r="C209" s="0" t="str">
        <f aca="false">IF('Deal Tracker'!B209="","",'Deal Tracker'!B209)</f>
        <v/>
      </c>
      <c r="D209" s="0" t="str">
        <f aca="false">IF('Deal Tracker'!B209="","",IF('Deal Tracker'!D209="","TBD","$"&amp;TEXT('Deal Tracker'!D209,"#,##0")&amp;"M"))</f>
        <v/>
      </c>
      <c r="E209" s="0" t="str">
        <f aca="false">IF('Deal Tracker'!B209="","",IF(AND(F209="",G209=""),"",F209&amp;IF(OR(F209="",G209=""),"","  ·  ")&amp;G209))</f>
        <v/>
      </c>
      <c r="F209" s="0" t="str">
        <f aca="false">IF('Deal Tracker'!F209="",IF('Deal Tracker'!G209="","",'Deal Tracker'!G209),'Deal Tracker'!F209&amp;IF('Deal Tracker'!G209="","",", "&amp;'Deal Tracker'!G209))</f>
        <v/>
      </c>
      <c r="G209" s="0" t="str">
        <f aca="false">IF('Deal Tracker'!H209="","","Target: "&amp;TEXT('Deal Tracker'!H209,"mmm yyyy"))</f>
        <v/>
      </c>
    </row>
    <row r="210" customFormat="false" ht="15" hidden="false" customHeight="false" outlineLevel="0" collapsed="false">
      <c r="A210" s="0" t="str">
        <f aca="false">IF('Deal Tracker'!C210="","",COUNTIF('Deal Tracker'!$C$2:C210,'Deal Tracker'!C210))</f>
        <v/>
      </c>
      <c r="B210" s="0" t="str">
        <f aca="false">IF(A210="","",'Deal Tracker'!C210&amp;"#"&amp;A210)</f>
        <v/>
      </c>
      <c r="C210" s="0" t="str">
        <f aca="false">IF('Deal Tracker'!B210="","",'Deal Tracker'!B210)</f>
        <v/>
      </c>
      <c r="D210" s="0" t="str">
        <f aca="false">IF('Deal Tracker'!B210="","",IF('Deal Tracker'!D210="","TBD","$"&amp;TEXT('Deal Tracker'!D210,"#,##0")&amp;"M"))</f>
        <v/>
      </c>
      <c r="E210" s="0" t="str">
        <f aca="false">IF('Deal Tracker'!B210="","",IF(AND(F210="",G210=""),"",F210&amp;IF(OR(F210="",G210=""),"","  ·  ")&amp;G210))</f>
        <v/>
      </c>
      <c r="F210" s="0" t="str">
        <f aca="false">IF('Deal Tracker'!F210="",IF('Deal Tracker'!G210="","",'Deal Tracker'!G210),'Deal Tracker'!F210&amp;IF('Deal Tracker'!G210="","",", "&amp;'Deal Tracker'!G210))</f>
        <v/>
      </c>
      <c r="G210" s="0" t="str">
        <f aca="false">IF('Deal Tracker'!H210="","","Target: "&amp;TEXT('Deal Tracker'!H210,"mmm yyyy"))</f>
        <v/>
      </c>
    </row>
    <row r="211" customFormat="false" ht="15" hidden="false" customHeight="false" outlineLevel="0" collapsed="false">
      <c r="A211" s="0" t="str">
        <f aca="false">IF('Deal Tracker'!C211="","",COUNTIF('Deal Tracker'!$C$2:C211,'Deal Tracker'!C211))</f>
        <v/>
      </c>
      <c r="B211" s="0" t="str">
        <f aca="false">IF(A211="","",'Deal Tracker'!C211&amp;"#"&amp;A211)</f>
        <v/>
      </c>
      <c r="C211" s="0" t="str">
        <f aca="false">IF('Deal Tracker'!B211="","",'Deal Tracker'!B211)</f>
        <v/>
      </c>
      <c r="D211" s="0" t="str">
        <f aca="false">IF('Deal Tracker'!B211="","",IF('Deal Tracker'!D211="","TBD","$"&amp;TEXT('Deal Tracker'!D211,"#,##0")&amp;"M"))</f>
        <v/>
      </c>
      <c r="E211" s="0" t="str">
        <f aca="false">IF('Deal Tracker'!B211="","",IF(AND(F211="",G211=""),"",F211&amp;IF(OR(F211="",G211=""),"","  ·  ")&amp;G211))</f>
        <v/>
      </c>
      <c r="F211" s="0" t="str">
        <f aca="false">IF('Deal Tracker'!F211="",IF('Deal Tracker'!G211="","",'Deal Tracker'!G211),'Deal Tracker'!F211&amp;IF('Deal Tracker'!G211="","",", "&amp;'Deal Tracker'!G211))</f>
        <v/>
      </c>
      <c r="G211" s="0" t="str">
        <f aca="false">IF('Deal Tracker'!H211="","","Target: "&amp;TEXT('Deal Tracker'!H211,"mmm yyyy"))</f>
        <v/>
      </c>
    </row>
    <row r="212" customFormat="false" ht="15" hidden="false" customHeight="false" outlineLevel="0" collapsed="false">
      <c r="A212" s="0" t="str">
        <f aca="false">IF('Deal Tracker'!C212="","",COUNTIF('Deal Tracker'!$C$2:C212,'Deal Tracker'!C212))</f>
        <v/>
      </c>
      <c r="B212" s="0" t="str">
        <f aca="false">IF(A212="","",'Deal Tracker'!C212&amp;"#"&amp;A212)</f>
        <v/>
      </c>
      <c r="C212" s="0" t="str">
        <f aca="false">IF('Deal Tracker'!B212="","",'Deal Tracker'!B212)</f>
        <v/>
      </c>
      <c r="D212" s="0" t="str">
        <f aca="false">IF('Deal Tracker'!B212="","",IF('Deal Tracker'!D212="","TBD","$"&amp;TEXT('Deal Tracker'!D212,"#,##0")&amp;"M"))</f>
        <v/>
      </c>
      <c r="E212" s="0" t="str">
        <f aca="false">IF('Deal Tracker'!B212="","",IF(AND(F212="",G212=""),"",F212&amp;IF(OR(F212="",G212=""),"","  ·  ")&amp;G212))</f>
        <v/>
      </c>
      <c r="F212" s="0" t="str">
        <f aca="false">IF('Deal Tracker'!F212="",IF('Deal Tracker'!G212="","",'Deal Tracker'!G212),'Deal Tracker'!F212&amp;IF('Deal Tracker'!G212="","",", "&amp;'Deal Tracker'!G212))</f>
        <v/>
      </c>
      <c r="G212" s="0" t="str">
        <f aca="false">IF('Deal Tracker'!H212="","","Target: "&amp;TEXT('Deal Tracker'!H212,"mmm yyyy"))</f>
        <v/>
      </c>
    </row>
    <row r="213" customFormat="false" ht="15" hidden="false" customHeight="false" outlineLevel="0" collapsed="false">
      <c r="A213" s="0" t="str">
        <f aca="false">IF('Deal Tracker'!C213="","",COUNTIF('Deal Tracker'!$C$2:C213,'Deal Tracker'!C213))</f>
        <v/>
      </c>
      <c r="B213" s="0" t="str">
        <f aca="false">IF(A213="","",'Deal Tracker'!C213&amp;"#"&amp;A213)</f>
        <v/>
      </c>
      <c r="C213" s="0" t="str">
        <f aca="false">IF('Deal Tracker'!B213="","",'Deal Tracker'!B213)</f>
        <v/>
      </c>
      <c r="D213" s="0" t="str">
        <f aca="false">IF('Deal Tracker'!B213="","",IF('Deal Tracker'!D213="","TBD","$"&amp;TEXT('Deal Tracker'!D213,"#,##0")&amp;"M"))</f>
        <v/>
      </c>
      <c r="E213" s="0" t="str">
        <f aca="false">IF('Deal Tracker'!B213="","",IF(AND(F213="",G213=""),"",F213&amp;IF(OR(F213="",G213=""),"","  ·  ")&amp;G213))</f>
        <v/>
      </c>
      <c r="F213" s="0" t="str">
        <f aca="false">IF('Deal Tracker'!F213="",IF('Deal Tracker'!G213="","",'Deal Tracker'!G213),'Deal Tracker'!F213&amp;IF('Deal Tracker'!G213="","",", "&amp;'Deal Tracker'!G213))</f>
        <v/>
      </c>
      <c r="G213" s="0" t="str">
        <f aca="false">IF('Deal Tracker'!H213="","","Target: "&amp;TEXT('Deal Tracker'!H213,"mmm yyyy"))</f>
        <v/>
      </c>
    </row>
    <row r="214" customFormat="false" ht="15" hidden="false" customHeight="false" outlineLevel="0" collapsed="false">
      <c r="A214" s="0" t="str">
        <f aca="false">IF('Deal Tracker'!C214="","",COUNTIF('Deal Tracker'!$C$2:C214,'Deal Tracker'!C214))</f>
        <v/>
      </c>
      <c r="B214" s="0" t="str">
        <f aca="false">IF(A214="","",'Deal Tracker'!C214&amp;"#"&amp;A214)</f>
        <v/>
      </c>
      <c r="C214" s="0" t="str">
        <f aca="false">IF('Deal Tracker'!B214="","",'Deal Tracker'!B214)</f>
        <v/>
      </c>
      <c r="D214" s="0" t="str">
        <f aca="false">IF('Deal Tracker'!B214="","",IF('Deal Tracker'!D214="","TBD","$"&amp;TEXT('Deal Tracker'!D214,"#,##0")&amp;"M"))</f>
        <v/>
      </c>
      <c r="E214" s="0" t="str">
        <f aca="false">IF('Deal Tracker'!B214="","",IF(AND(F214="",G214=""),"",F214&amp;IF(OR(F214="",G214=""),"","  ·  ")&amp;G214))</f>
        <v/>
      </c>
      <c r="F214" s="0" t="str">
        <f aca="false">IF('Deal Tracker'!F214="",IF('Deal Tracker'!G214="","",'Deal Tracker'!G214),'Deal Tracker'!F214&amp;IF('Deal Tracker'!G214="","",", "&amp;'Deal Tracker'!G214))</f>
        <v/>
      </c>
      <c r="G214" s="0" t="str">
        <f aca="false">IF('Deal Tracker'!H214="","","Target: "&amp;TEXT('Deal Tracker'!H214,"mmm yyyy"))</f>
        <v/>
      </c>
    </row>
    <row r="215" customFormat="false" ht="15" hidden="false" customHeight="false" outlineLevel="0" collapsed="false">
      <c r="A215" s="0" t="str">
        <f aca="false">IF('Deal Tracker'!C215="","",COUNTIF('Deal Tracker'!$C$2:C215,'Deal Tracker'!C215))</f>
        <v/>
      </c>
      <c r="B215" s="0" t="str">
        <f aca="false">IF(A215="","",'Deal Tracker'!C215&amp;"#"&amp;A215)</f>
        <v/>
      </c>
      <c r="C215" s="0" t="str">
        <f aca="false">IF('Deal Tracker'!B215="","",'Deal Tracker'!B215)</f>
        <v/>
      </c>
      <c r="D215" s="0" t="str">
        <f aca="false">IF('Deal Tracker'!B215="","",IF('Deal Tracker'!D215="","TBD","$"&amp;TEXT('Deal Tracker'!D215,"#,##0")&amp;"M"))</f>
        <v/>
      </c>
      <c r="E215" s="0" t="str">
        <f aca="false">IF('Deal Tracker'!B215="","",IF(AND(F215="",G215=""),"",F215&amp;IF(OR(F215="",G215=""),"","  ·  ")&amp;G215))</f>
        <v/>
      </c>
      <c r="F215" s="0" t="str">
        <f aca="false">IF('Deal Tracker'!F215="",IF('Deal Tracker'!G215="","",'Deal Tracker'!G215),'Deal Tracker'!F215&amp;IF('Deal Tracker'!G215="","",", "&amp;'Deal Tracker'!G215))</f>
        <v/>
      </c>
      <c r="G215" s="0" t="str">
        <f aca="false">IF('Deal Tracker'!H215="","","Target: "&amp;TEXT('Deal Tracker'!H215,"mmm yyyy"))</f>
        <v/>
      </c>
    </row>
    <row r="216" customFormat="false" ht="15" hidden="false" customHeight="false" outlineLevel="0" collapsed="false">
      <c r="A216" s="0" t="str">
        <f aca="false">IF('Deal Tracker'!C216="","",COUNTIF('Deal Tracker'!$C$2:C216,'Deal Tracker'!C216))</f>
        <v/>
      </c>
      <c r="B216" s="0" t="str">
        <f aca="false">IF(A216="","",'Deal Tracker'!C216&amp;"#"&amp;A216)</f>
        <v/>
      </c>
      <c r="C216" s="0" t="str">
        <f aca="false">IF('Deal Tracker'!B216="","",'Deal Tracker'!B216)</f>
        <v/>
      </c>
      <c r="D216" s="0" t="str">
        <f aca="false">IF('Deal Tracker'!B216="","",IF('Deal Tracker'!D216="","TBD","$"&amp;TEXT('Deal Tracker'!D216,"#,##0")&amp;"M"))</f>
        <v/>
      </c>
      <c r="E216" s="0" t="str">
        <f aca="false">IF('Deal Tracker'!B216="","",IF(AND(F216="",G216=""),"",F216&amp;IF(OR(F216="",G216=""),"","  ·  ")&amp;G216))</f>
        <v/>
      </c>
      <c r="F216" s="0" t="str">
        <f aca="false">IF('Deal Tracker'!F216="",IF('Deal Tracker'!G216="","",'Deal Tracker'!G216),'Deal Tracker'!F216&amp;IF('Deal Tracker'!G216="","",", "&amp;'Deal Tracker'!G216))</f>
        <v/>
      </c>
      <c r="G216" s="0" t="str">
        <f aca="false">IF('Deal Tracker'!H216="","","Target: "&amp;TEXT('Deal Tracker'!H216,"mmm yyyy"))</f>
        <v/>
      </c>
    </row>
    <row r="217" customFormat="false" ht="15" hidden="false" customHeight="false" outlineLevel="0" collapsed="false">
      <c r="A217" s="0" t="str">
        <f aca="false">IF('Deal Tracker'!C217="","",COUNTIF('Deal Tracker'!$C$2:C217,'Deal Tracker'!C217))</f>
        <v/>
      </c>
      <c r="B217" s="0" t="str">
        <f aca="false">IF(A217="","",'Deal Tracker'!C217&amp;"#"&amp;A217)</f>
        <v/>
      </c>
      <c r="C217" s="0" t="str">
        <f aca="false">IF('Deal Tracker'!B217="","",'Deal Tracker'!B217)</f>
        <v/>
      </c>
      <c r="D217" s="0" t="str">
        <f aca="false">IF('Deal Tracker'!B217="","",IF('Deal Tracker'!D217="","TBD","$"&amp;TEXT('Deal Tracker'!D217,"#,##0")&amp;"M"))</f>
        <v/>
      </c>
      <c r="E217" s="0" t="str">
        <f aca="false">IF('Deal Tracker'!B217="","",IF(AND(F217="",G217=""),"",F217&amp;IF(OR(F217="",G217=""),"","  ·  ")&amp;G217))</f>
        <v/>
      </c>
      <c r="F217" s="0" t="str">
        <f aca="false">IF('Deal Tracker'!F217="",IF('Deal Tracker'!G217="","",'Deal Tracker'!G217),'Deal Tracker'!F217&amp;IF('Deal Tracker'!G217="","",", "&amp;'Deal Tracker'!G217))</f>
        <v/>
      </c>
      <c r="G217" s="0" t="str">
        <f aca="false">IF('Deal Tracker'!H217="","","Target: "&amp;TEXT('Deal Tracker'!H217,"mmm yyyy"))</f>
        <v/>
      </c>
    </row>
    <row r="218" customFormat="false" ht="15" hidden="false" customHeight="false" outlineLevel="0" collapsed="false">
      <c r="A218" s="0" t="str">
        <f aca="false">IF('Deal Tracker'!C218="","",COUNTIF('Deal Tracker'!$C$2:C218,'Deal Tracker'!C218))</f>
        <v/>
      </c>
      <c r="B218" s="0" t="str">
        <f aca="false">IF(A218="","",'Deal Tracker'!C218&amp;"#"&amp;A218)</f>
        <v/>
      </c>
      <c r="C218" s="0" t="str">
        <f aca="false">IF('Deal Tracker'!B218="","",'Deal Tracker'!B218)</f>
        <v/>
      </c>
      <c r="D218" s="0" t="str">
        <f aca="false">IF('Deal Tracker'!B218="","",IF('Deal Tracker'!D218="","TBD","$"&amp;TEXT('Deal Tracker'!D218,"#,##0")&amp;"M"))</f>
        <v/>
      </c>
      <c r="E218" s="0" t="str">
        <f aca="false">IF('Deal Tracker'!B218="","",IF(AND(F218="",G218=""),"",F218&amp;IF(OR(F218="",G218=""),"","  ·  ")&amp;G218))</f>
        <v/>
      </c>
      <c r="F218" s="0" t="str">
        <f aca="false">IF('Deal Tracker'!F218="",IF('Deal Tracker'!G218="","",'Deal Tracker'!G218),'Deal Tracker'!F218&amp;IF('Deal Tracker'!G218="","",", "&amp;'Deal Tracker'!G218))</f>
        <v/>
      </c>
      <c r="G218" s="0" t="str">
        <f aca="false">IF('Deal Tracker'!H218="","","Target: "&amp;TEXT('Deal Tracker'!H218,"mmm yyyy"))</f>
        <v/>
      </c>
    </row>
    <row r="219" customFormat="false" ht="15" hidden="false" customHeight="false" outlineLevel="0" collapsed="false">
      <c r="A219" s="0" t="str">
        <f aca="false">IF('Deal Tracker'!C219="","",COUNTIF('Deal Tracker'!$C$2:C219,'Deal Tracker'!C219))</f>
        <v/>
      </c>
      <c r="B219" s="0" t="str">
        <f aca="false">IF(A219="","",'Deal Tracker'!C219&amp;"#"&amp;A219)</f>
        <v/>
      </c>
      <c r="C219" s="0" t="str">
        <f aca="false">IF('Deal Tracker'!B219="","",'Deal Tracker'!B219)</f>
        <v/>
      </c>
      <c r="D219" s="0" t="str">
        <f aca="false">IF('Deal Tracker'!B219="","",IF('Deal Tracker'!D219="","TBD","$"&amp;TEXT('Deal Tracker'!D219,"#,##0")&amp;"M"))</f>
        <v/>
      </c>
      <c r="E219" s="0" t="str">
        <f aca="false">IF('Deal Tracker'!B219="","",IF(AND(F219="",G219=""),"",F219&amp;IF(OR(F219="",G219=""),"","  ·  ")&amp;G219))</f>
        <v/>
      </c>
      <c r="F219" s="0" t="str">
        <f aca="false">IF('Deal Tracker'!F219="",IF('Deal Tracker'!G219="","",'Deal Tracker'!G219),'Deal Tracker'!F219&amp;IF('Deal Tracker'!G219="","",", "&amp;'Deal Tracker'!G219))</f>
        <v/>
      </c>
      <c r="G219" s="0" t="str">
        <f aca="false">IF('Deal Tracker'!H219="","","Target: "&amp;TEXT('Deal Tracker'!H219,"mmm yyyy"))</f>
        <v/>
      </c>
    </row>
    <row r="220" customFormat="false" ht="15" hidden="false" customHeight="false" outlineLevel="0" collapsed="false">
      <c r="A220" s="0" t="str">
        <f aca="false">IF('Deal Tracker'!C220="","",COUNTIF('Deal Tracker'!$C$2:C220,'Deal Tracker'!C220))</f>
        <v/>
      </c>
      <c r="B220" s="0" t="str">
        <f aca="false">IF(A220="","",'Deal Tracker'!C220&amp;"#"&amp;A220)</f>
        <v/>
      </c>
      <c r="C220" s="0" t="str">
        <f aca="false">IF('Deal Tracker'!B220="","",'Deal Tracker'!B220)</f>
        <v/>
      </c>
      <c r="D220" s="0" t="str">
        <f aca="false">IF('Deal Tracker'!B220="","",IF('Deal Tracker'!D220="","TBD","$"&amp;TEXT('Deal Tracker'!D220,"#,##0")&amp;"M"))</f>
        <v/>
      </c>
      <c r="E220" s="0" t="str">
        <f aca="false">IF('Deal Tracker'!B220="","",IF(AND(F220="",G220=""),"",F220&amp;IF(OR(F220="",G220=""),"","  ·  ")&amp;G220))</f>
        <v/>
      </c>
      <c r="F220" s="0" t="str">
        <f aca="false">IF('Deal Tracker'!F220="",IF('Deal Tracker'!G220="","",'Deal Tracker'!G220),'Deal Tracker'!F220&amp;IF('Deal Tracker'!G220="","",", "&amp;'Deal Tracker'!G220))</f>
        <v/>
      </c>
      <c r="G220" s="0" t="str">
        <f aca="false">IF('Deal Tracker'!H220="","","Target: "&amp;TEXT('Deal Tracker'!H220,"mmm yyyy"))</f>
        <v/>
      </c>
    </row>
    <row r="221" customFormat="false" ht="15" hidden="false" customHeight="false" outlineLevel="0" collapsed="false">
      <c r="A221" s="0" t="str">
        <f aca="false">IF('Deal Tracker'!C221="","",COUNTIF('Deal Tracker'!$C$2:C221,'Deal Tracker'!C221))</f>
        <v/>
      </c>
      <c r="B221" s="0" t="str">
        <f aca="false">IF(A221="","",'Deal Tracker'!C221&amp;"#"&amp;A221)</f>
        <v/>
      </c>
      <c r="C221" s="0" t="str">
        <f aca="false">IF('Deal Tracker'!B221="","",'Deal Tracker'!B221)</f>
        <v/>
      </c>
      <c r="D221" s="0" t="str">
        <f aca="false">IF('Deal Tracker'!B221="","",IF('Deal Tracker'!D221="","TBD","$"&amp;TEXT('Deal Tracker'!D221,"#,##0")&amp;"M"))</f>
        <v/>
      </c>
      <c r="E221" s="0" t="str">
        <f aca="false">IF('Deal Tracker'!B221="","",IF(AND(F221="",G221=""),"",F221&amp;IF(OR(F221="",G221=""),"","  ·  ")&amp;G221))</f>
        <v/>
      </c>
      <c r="F221" s="0" t="str">
        <f aca="false">IF('Deal Tracker'!F221="",IF('Deal Tracker'!G221="","",'Deal Tracker'!G221),'Deal Tracker'!F221&amp;IF('Deal Tracker'!G221="","",", "&amp;'Deal Tracker'!G221))</f>
        <v/>
      </c>
      <c r="G221" s="0" t="str">
        <f aca="false">IF('Deal Tracker'!H221="","","Target: "&amp;TEXT('Deal Tracker'!H221,"mmm yyyy"))</f>
        <v/>
      </c>
    </row>
    <row r="222" customFormat="false" ht="15" hidden="false" customHeight="false" outlineLevel="0" collapsed="false">
      <c r="A222" s="0" t="str">
        <f aca="false">IF('Deal Tracker'!C222="","",COUNTIF('Deal Tracker'!$C$2:C222,'Deal Tracker'!C222))</f>
        <v/>
      </c>
      <c r="B222" s="0" t="str">
        <f aca="false">IF(A222="","",'Deal Tracker'!C222&amp;"#"&amp;A222)</f>
        <v/>
      </c>
      <c r="C222" s="0" t="str">
        <f aca="false">IF('Deal Tracker'!B222="","",'Deal Tracker'!B222)</f>
        <v/>
      </c>
      <c r="D222" s="0" t="str">
        <f aca="false">IF('Deal Tracker'!B222="","",IF('Deal Tracker'!D222="","TBD","$"&amp;TEXT('Deal Tracker'!D222,"#,##0")&amp;"M"))</f>
        <v/>
      </c>
      <c r="E222" s="0" t="str">
        <f aca="false">IF('Deal Tracker'!B222="","",IF(AND(F222="",G222=""),"",F222&amp;IF(OR(F222="",G222=""),"","  ·  ")&amp;G222))</f>
        <v/>
      </c>
      <c r="F222" s="0" t="str">
        <f aca="false">IF('Deal Tracker'!F222="",IF('Deal Tracker'!G222="","",'Deal Tracker'!G222),'Deal Tracker'!F222&amp;IF('Deal Tracker'!G222="","",", "&amp;'Deal Tracker'!G222))</f>
        <v/>
      </c>
      <c r="G222" s="0" t="str">
        <f aca="false">IF('Deal Tracker'!H222="","","Target: "&amp;TEXT('Deal Tracker'!H222,"mmm yyyy"))</f>
        <v/>
      </c>
    </row>
    <row r="223" customFormat="false" ht="15" hidden="false" customHeight="false" outlineLevel="0" collapsed="false">
      <c r="A223" s="0" t="str">
        <f aca="false">IF('Deal Tracker'!C223="","",COUNTIF('Deal Tracker'!$C$2:C223,'Deal Tracker'!C223))</f>
        <v/>
      </c>
      <c r="B223" s="0" t="str">
        <f aca="false">IF(A223="","",'Deal Tracker'!C223&amp;"#"&amp;A223)</f>
        <v/>
      </c>
      <c r="C223" s="0" t="str">
        <f aca="false">IF('Deal Tracker'!B223="","",'Deal Tracker'!B223)</f>
        <v/>
      </c>
      <c r="D223" s="0" t="str">
        <f aca="false">IF('Deal Tracker'!B223="","",IF('Deal Tracker'!D223="","TBD","$"&amp;TEXT('Deal Tracker'!D223,"#,##0")&amp;"M"))</f>
        <v/>
      </c>
      <c r="E223" s="0" t="str">
        <f aca="false">IF('Deal Tracker'!B223="","",IF(AND(F223="",G223=""),"",F223&amp;IF(OR(F223="",G223=""),"","  ·  ")&amp;G223))</f>
        <v/>
      </c>
      <c r="F223" s="0" t="str">
        <f aca="false">IF('Deal Tracker'!F223="",IF('Deal Tracker'!G223="","",'Deal Tracker'!G223),'Deal Tracker'!F223&amp;IF('Deal Tracker'!G223="","",", "&amp;'Deal Tracker'!G223))</f>
        <v/>
      </c>
      <c r="G223" s="0" t="str">
        <f aca="false">IF('Deal Tracker'!H223="","","Target: "&amp;TEXT('Deal Tracker'!H223,"mmm yyyy"))</f>
        <v/>
      </c>
    </row>
    <row r="224" customFormat="false" ht="15" hidden="false" customHeight="false" outlineLevel="0" collapsed="false">
      <c r="A224" s="0" t="str">
        <f aca="false">IF('Deal Tracker'!C224="","",COUNTIF('Deal Tracker'!$C$2:C224,'Deal Tracker'!C224))</f>
        <v/>
      </c>
      <c r="B224" s="0" t="str">
        <f aca="false">IF(A224="","",'Deal Tracker'!C224&amp;"#"&amp;A224)</f>
        <v/>
      </c>
      <c r="C224" s="0" t="str">
        <f aca="false">IF('Deal Tracker'!B224="","",'Deal Tracker'!B224)</f>
        <v/>
      </c>
      <c r="D224" s="0" t="str">
        <f aca="false">IF('Deal Tracker'!B224="","",IF('Deal Tracker'!D224="","TBD","$"&amp;TEXT('Deal Tracker'!D224,"#,##0")&amp;"M"))</f>
        <v/>
      </c>
      <c r="E224" s="0" t="str">
        <f aca="false">IF('Deal Tracker'!B224="","",IF(AND(F224="",G224=""),"",F224&amp;IF(OR(F224="",G224=""),"","  ·  ")&amp;G224))</f>
        <v/>
      </c>
      <c r="F224" s="0" t="str">
        <f aca="false">IF('Deal Tracker'!F224="",IF('Deal Tracker'!G224="","",'Deal Tracker'!G224),'Deal Tracker'!F224&amp;IF('Deal Tracker'!G224="","",", "&amp;'Deal Tracker'!G224))</f>
        <v/>
      </c>
      <c r="G224" s="0" t="str">
        <f aca="false">IF('Deal Tracker'!H224="","","Target: "&amp;TEXT('Deal Tracker'!H224,"mmm yyyy"))</f>
        <v/>
      </c>
    </row>
    <row r="225" customFormat="false" ht="15" hidden="false" customHeight="false" outlineLevel="0" collapsed="false">
      <c r="A225" s="0" t="str">
        <f aca="false">IF('Deal Tracker'!C225="","",COUNTIF('Deal Tracker'!$C$2:C225,'Deal Tracker'!C225))</f>
        <v/>
      </c>
      <c r="B225" s="0" t="str">
        <f aca="false">IF(A225="","",'Deal Tracker'!C225&amp;"#"&amp;A225)</f>
        <v/>
      </c>
      <c r="C225" s="0" t="str">
        <f aca="false">IF('Deal Tracker'!B225="","",'Deal Tracker'!B225)</f>
        <v/>
      </c>
      <c r="D225" s="0" t="str">
        <f aca="false">IF('Deal Tracker'!B225="","",IF('Deal Tracker'!D225="","TBD","$"&amp;TEXT('Deal Tracker'!D225,"#,##0")&amp;"M"))</f>
        <v/>
      </c>
      <c r="E225" s="0" t="str">
        <f aca="false">IF('Deal Tracker'!B225="","",IF(AND(F225="",G225=""),"",F225&amp;IF(OR(F225="",G225=""),"","  ·  ")&amp;G225))</f>
        <v/>
      </c>
      <c r="F225" s="0" t="str">
        <f aca="false">IF('Deal Tracker'!F225="",IF('Deal Tracker'!G225="","",'Deal Tracker'!G225),'Deal Tracker'!F225&amp;IF('Deal Tracker'!G225="","",", "&amp;'Deal Tracker'!G225))</f>
        <v/>
      </c>
      <c r="G225" s="0" t="str">
        <f aca="false">IF('Deal Tracker'!H225="","","Target: "&amp;TEXT('Deal Tracker'!H225,"mmm yyyy"))</f>
        <v/>
      </c>
    </row>
    <row r="226" customFormat="false" ht="15" hidden="false" customHeight="false" outlineLevel="0" collapsed="false">
      <c r="A226" s="0" t="str">
        <f aca="false">IF('Deal Tracker'!C226="","",COUNTIF('Deal Tracker'!$C$2:C226,'Deal Tracker'!C226))</f>
        <v/>
      </c>
      <c r="B226" s="0" t="str">
        <f aca="false">IF(A226="","",'Deal Tracker'!C226&amp;"#"&amp;A226)</f>
        <v/>
      </c>
      <c r="C226" s="0" t="str">
        <f aca="false">IF('Deal Tracker'!B226="","",'Deal Tracker'!B226)</f>
        <v/>
      </c>
      <c r="D226" s="0" t="str">
        <f aca="false">IF('Deal Tracker'!B226="","",IF('Deal Tracker'!D226="","TBD","$"&amp;TEXT('Deal Tracker'!D226,"#,##0")&amp;"M"))</f>
        <v/>
      </c>
      <c r="E226" s="0" t="str">
        <f aca="false">IF('Deal Tracker'!B226="","",IF(AND(F226="",G226=""),"",F226&amp;IF(OR(F226="",G226=""),"","  ·  ")&amp;G226))</f>
        <v/>
      </c>
      <c r="F226" s="0" t="str">
        <f aca="false">IF('Deal Tracker'!F226="",IF('Deal Tracker'!G226="","",'Deal Tracker'!G226),'Deal Tracker'!F226&amp;IF('Deal Tracker'!G226="","",", "&amp;'Deal Tracker'!G226))</f>
        <v/>
      </c>
      <c r="G226" s="0" t="str">
        <f aca="false">IF('Deal Tracker'!H226="","","Target: "&amp;TEXT('Deal Tracker'!H226,"mmm yyyy"))</f>
        <v/>
      </c>
    </row>
    <row r="227" customFormat="false" ht="15" hidden="false" customHeight="false" outlineLevel="0" collapsed="false">
      <c r="A227" s="0" t="str">
        <f aca="false">IF('Deal Tracker'!C227="","",COUNTIF('Deal Tracker'!$C$2:C227,'Deal Tracker'!C227))</f>
        <v/>
      </c>
      <c r="B227" s="0" t="str">
        <f aca="false">IF(A227="","",'Deal Tracker'!C227&amp;"#"&amp;A227)</f>
        <v/>
      </c>
      <c r="C227" s="0" t="str">
        <f aca="false">IF('Deal Tracker'!B227="","",'Deal Tracker'!B227)</f>
        <v/>
      </c>
      <c r="D227" s="0" t="str">
        <f aca="false">IF('Deal Tracker'!B227="","",IF('Deal Tracker'!D227="","TBD","$"&amp;TEXT('Deal Tracker'!D227,"#,##0")&amp;"M"))</f>
        <v/>
      </c>
      <c r="E227" s="0" t="str">
        <f aca="false">IF('Deal Tracker'!B227="","",IF(AND(F227="",G227=""),"",F227&amp;IF(OR(F227="",G227=""),"","  ·  ")&amp;G227))</f>
        <v/>
      </c>
      <c r="F227" s="0" t="str">
        <f aca="false">IF('Deal Tracker'!F227="",IF('Deal Tracker'!G227="","",'Deal Tracker'!G227),'Deal Tracker'!F227&amp;IF('Deal Tracker'!G227="","",", "&amp;'Deal Tracker'!G227))</f>
        <v/>
      </c>
      <c r="G227" s="0" t="str">
        <f aca="false">IF('Deal Tracker'!H227="","","Target: "&amp;TEXT('Deal Tracker'!H227,"mmm yyyy"))</f>
        <v/>
      </c>
    </row>
    <row r="228" customFormat="false" ht="15" hidden="false" customHeight="false" outlineLevel="0" collapsed="false">
      <c r="A228" s="0" t="str">
        <f aca="false">IF('Deal Tracker'!C228="","",COUNTIF('Deal Tracker'!$C$2:C228,'Deal Tracker'!C228))</f>
        <v/>
      </c>
      <c r="B228" s="0" t="str">
        <f aca="false">IF(A228="","",'Deal Tracker'!C228&amp;"#"&amp;A228)</f>
        <v/>
      </c>
      <c r="C228" s="0" t="str">
        <f aca="false">IF('Deal Tracker'!B228="","",'Deal Tracker'!B228)</f>
        <v/>
      </c>
      <c r="D228" s="0" t="str">
        <f aca="false">IF('Deal Tracker'!B228="","",IF('Deal Tracker'!D228="","TBD","$"&amp;TEXT('Deal Tracker'!D228,"#,##0")&amp;"M"))</f>
        <v/>
      </c>
      <c r="E228" s="0" t="str">
        <f aca="false">IF('Deal Tracker'!B228="","",IF(AND(F228="",G228=""),"",F228&amp;IF(OR(F228="",G228=""),"","  ·  ")&amp;G228))</f>
        <v/>
      </c>
      <c r="F228" s="0" t="str">
        <f aca="false">IF('Deal Tracker'!F228="",IF('Deal Tracker'!G228="","",'Deal Tracker'!G228),'Deal Tracker'!F228&amp;IF('Deal Tracker'!G228="","",", "&amp;'Deal Tracker'!G228))</f>
        <v/>
      </c>
      <c r="G228" s="0" t="str">
        <f aca="false">IF('Deal Tracker'!H228="","","Target: "&amp;TEXT('Deal Tracker'!H228,"mmm yyyy"))</f>
        <v/>
      </c>
    </row>
    <row r="229" customFormat="false" ht="15" hidden="false" customHeight="false" outlineLevel="0" collapsed="false">
      <c r="A229" s="0" t="str">
        <f aca="false">IF('Deal Tracker'!C229="","",COUNTIF('Deal Tracker'!$C$2:C229,'Deal Tracker'!C229))</f>
        <v/>
      </c>
      <c r="B229" s="0" t="str">
        <f aca="false">IF(A229="","",'Deal Tracker'!C229&amp;"#"&amp;A229)</f>
        <v/>
      </c>
      <c r="C229" s="0" t="str">
        <f aca="false">IF('Deal Tracker'!B229="","",'Deal Tracker'!B229)</f>
        <v/>
      </c>
      <c r="D229" s="0" t="str">
        <f aca="false">IF('Deal Tracker'!B229="","",IF('Deal Tracker'!D229="","TBD","$"&amp;TEXT('Deal Tracker'!D229,"#,##0")&amp;"M"))</f>
        <v/>
      </c>
      <c r="E229" s="0" t="str">
        <f aca="false">IF('Deal Tracker'!B229="","",IF(AND(F229="",G229=""),"",F229&amp;IF(OR(F229="",G229=""),"","  ·  ")&amp;G229))</f>
        <v/>
      </c>
      <c r="F229" s="0" t="str">
        <f aca="false">IF('Deal Tracker'!F229="",IF('Deal Tracker'!G229="","",'Deal Tracker'!G229),'Deal Tracker'!F229&amp;IF('Deal Tracker'!G229="","",", "&amp;'Deal Tracker'!G229))</f>
        <v/>
      </c>
      <c r="G229" s="0" t="str">
        <f aca="false">IF('Deal Tracker'!H229="","","Target: "&amp;TEXT('Deal Tracker'!H229,"mmm yyyy"))</f>
        <v/>
      </c>
    </row>
    <row r="230" customFormat="false" ht="15" hidden="false" customHeight="false" outlineLevel="0" collapsed="false">
      <c r="A230" s="0" t="str">
        <f aca="false">IF('Deal Tracker'!C230="","",COUNTIF('Deal Tracker'!$C$2:C230,'Deal Tracker'!C230))</f>
        <v/>
      </c>
      <c r="B230" s="0" t="str">
        <f aca="false">IF(A230="","",'Deal Tracker'!C230&amp;"#"&amp;A230)</f>
        <v/>
      </c>
      <c r="C230" s="0" t="str">
        <f aca="false">IF('Deal Tracker'!B230="","",'Deal Tracker'!B230)</f>
        <v/>
      </c>
      <c r="D230" s="0" t="str">
        <f aca="false">IF('Deal Tracker'!B230="","",IF('Deal Tracker'!D230="","TBD","$"&amp;TEXT('Deal Tracker'!D230,"#,##0")&amp;"M"))</f>
        <v/>
      </c>
      <c r="E230" s="0" t="str">
        <f aca="false">IF('Deal Tracker'!B230="","",IF(AND(F230="",G230=""),"",F230&amp;IF(OR(F230="",G230=""),"","  ·  ")&amp;G230))</f>
        <v/>
      </c>
      <c r="F230" s="0" t="str">
        <f aca="false">IF('Deal Tracker'!F230="",IF('Deal Tracker'!G230="","",'Deal Tracker'!G230),'Deal Tracker'!F230&amp;IF('Deal Tracker'!G230="","",", "&amp;'Deal Tracker'!G230))</f>
        <v/>
      </c>
      <c r="G230" s="0" t="str">
        <f aca="false">IF('Deal Tracker'!H230="","","Target: "&amp;TEXT('Deal Tracker'!H230,"mmm yyyy"))</f>
        <v/>
      </c>
    </row>
    <row r="231" customFormat="false" ht="15" hidden="false" customHeight="false" outlineLevel="0" collapsed="false">
      <c r="A231" s="0" t="str">
        <f aca="false">IF('Deal Tracker'!C231="","",COUNTIF('Deal Tracker'!$C$2:C231,'Deal Tracker'!C231))</f>
        <v/>
      </c>
      <c r="B231" s="0" t="str">
        <f aca="false">IF(A231="","",'Deal Tracker'!C231&amp;"#"&amp;A231)</f>
        <v/>
      </c>
      <c r="C231" s="0" t="str">
        <f aca="false">IF('Deal Tracker'!B231="","",'Deal Tracker'!B231)</f>
        <v/>
      </c>
      <c r="D231" s="0" t="str">
        <f aca="false">IF('Deal Tracker'!B231="","",IF('Deal Tracker'!D231="","TBD","$"&amp;TEXT('Deal Tracker'!D231,"#,##0")&amp;"M"))</f>
        <v/>
      </c>
      <c r="E231" s="0" t="str">
        <f aca="false">IF('Deal Tracker'!B231="","",IF(AND(F231="",G231=""),"",F231&amp;IF(OR(F231="",G231=""),"","  ·  ")&amp;G231))</f>
        <v/>
      </c>
      <c r="F231" s="0" t="str">
        <f aca="false">IF('Deal Tracker'!F231="",IF('Deal Tracker'!G231="","",'Deal Tracker'!G231),'Deal Tracker'!F231&amp;IF('Deal Tracker'!G231="","",", "&amp;'Deal Tracker'!G231))</f>
        <v/>
      </c>
      <c r="G231" s="0" t="str">
        <f aca="false">IF('Deal Tracker'!H231="","","Target: "&amp;TEXT('Deal Tracker'!H231,"mmm yyyy"))</f>
        <v/>
      </c>
    </row>
    <row r="232" customFormat="false" ht="15" hidden="false" customHeight="false" outlineLevel="0" collapsed="false">
      <c r="A232" s="0" t="str">
        <f aca="false">IF('Deal Tracker'!C232="","",COUNTIF('Deal Tracker'!$C$2:C232,'Deal Tracker'!C232))</f>
        <v/>
      </c>
      <c r="B232" s="0" t="str">
        <f aca="false">IF(A232="","",'Deal Tracker'!C232&amp;"#"&amp;A232)</f>
        <v/>
      </c>
      <c r="C232" s="0" t="str">
        <f aca="false">IF('Deal Tracker'!B232="","",'Deal Tracker'!B232)</f>
        <v/>
      </c>
      <c r="D232" s="0" t="str">
        <f aca="false">IF('Deal Tracker'!B232="","",IF('Deal Tracker'!D232="","TBD","$"&amp;TEXT('Deal Tracker'!D232,"#,##0")&amp;"M"))</f>
        <v/>
      </c>
      <c r="E232" s="0" t="str">
        <f aca="false">IF('Deal Tracker'!B232="","",IF(AND(F232="",G232=""),"",F232&amp;IF(OR(F232="",G232=""),"","  ·  ")&amp;G232))</f>
        <v/>
      </c>
      <c r="F232" s="0" t="str">
        <f aca="false">IF('Deal Tracker'!F232="",IF('Deal Tracker'!G232="","",'Deal Tracker'!G232),'Deal Tracker'!F232&amp;IF('Deal Tracker'!G232="","",", "&amp;'Deal Tracker'!G232))</f>
        <v/>
      </c>
      <c r="G232" s="0" t="str">
        <f aca="false">IF('Deal Tracker'!H232="","","Target: "&amp;TEXT('Deal Tracker'!H232,"mmm yyyy"))</f>
        <v/>
      </c>
    </row>
    <row r="233" customFormat="false" ht="15" hidden="false" customHeight="false" outlineLevel="0" collapsed="false">
      <c r="A233" s="0" t="str">
        <f aca="false">IF('Deal Tracker'!C233="","",COUNTIF('Deal Tracker'!$C$2:C233,'Deal Tracker'!C233))</f>
        <v/>
      </c>
      <c r="B233" s="0" t="str">
        <f aca="false">IF(A233="","",'Deal Tracker'!C233&amp;"#"&amp;A233)</f>
        <v/>
      </c>
      <c r="C233" s="0" t="str">
        <f aca="false">IF('Deal Tracker'!B233="","",'Deal Tracker'!B233)</f>
        <v/>
      </c>
      <c r="D233" s="0" t="str">
        <f aca="false">IF('Deal Tracker'!B233="","",IF('Deal Tracker'!D233="","TBD","$"&amp;TEXT('Deal Tracker'!D233,"#,##0")&amp;"M"))</f>
        <v/>
      </c>
      <c r="E233" s="0" t="str">
        <f aca="false">IF('Deal Tracker'!B233="","",IF(AND(F233="",G233=""),"",F233&amp;IF(OR(F233="",G233=""),"","  ·  ")&amp;G233))</f>
        <v/>
      </c>
      <c r="F233" s="0" t="str">
        <f aca="false">IF('Deal Tracker'!F233="",IF('Deal Tracker'!G233="","",'Deal Tracker'!G233),'Deal Tracker'!F233&amp;IF('Deal Tracker'!G233="","",", "&amp;'Deal Tracker'!G233))</f>
        <v/>
      </c>
      <c r="G233" s="0" t="str">
        <f aca="false">IF('Deal Tracker'!H233="","","Target: "&amp;TEXT('Deal Tracker'!H233,"mmm yyyy"))</f>
        <v/>
      </c>
    </row>
    <row r="234" customFormat="false" ht="15" hidden="false" customHeight="false" outlineLevel="0" collapsed="false">
      <c r="A234" s="0" t="str">
        <f aca="false">IF('Deal Tracker'!C234="","",COUNTIF('Deal Tracker'!$C$2:C234,'Deal Tracker'!C234))</f>
        <v/>
      </c>
      <c r="B234" s="0" t="str">
        <f aca="false">IF(A234="","",'Deal Tracker'!C234&amp;"#"&amp;A234)</f>
        <v/>
      </c>
      <c r="C234" s="0" t="str">
        <f aca="false">IF('Deal Tracker'!B234="","",'Deal Tracker'!B234)</f>
        <v/>
      </c>
      <c r="D234" s="0" t="str">
        <f aca="false">IF('Deal Tracker'!B234="","",IF('Deal Tracker'!D234="","TBD","$"&amp;TEXT('Deal Tracker'!D234,"#,##0")&amp;"M"))</f>
        <v/>
      </c>
      <c r="E234" s="0" t="str">
        <f aca="false">IF('Deal Tracker'!B234="","",IF(AND(F234="",G234=""),"",F234&amp;IF(OR(F234="",G234=""),"","  ·  ")&amp;G234))</f>
        <v/>
      </c>
      <c r="F234" s="0" t="str">
        <f aca="false">IF('Deal Tracker'!F234="",IF('Deal Tracker'!G234="","",'Deal Tracker'!G234),'Deal Tracker'!F234&amp;IF('Deal Tracker'!G234="","",", "&amp;'Deal Tracker'!G234))</f>
        <v/>
      </c>
      <c r="G234" s="0" t="str">
        <f aca="false">IF('Deal Tracker'!H234="","","Target: "&amp;TEXT('Deal Tracker'!H234,"mmm yyyy"))</f>
        <v/>
      </c>
    </row>
    <row r="235" customFormat="false" ht="15" hidden="false" customHeight="false" outlineLevel="0" collapsed="false">
      <c r="A235" s="0" t="str">
        <f aca="false">IF('Deal Tracker'!C235="","",COUNTIF('Deal Tracker'!$C$2:C235,'Deal Tracker'!C235))</f>
        <v/>
      </c>
      <c r="B235" s="0" t="str">
        <f aca="false">IF(A235="","",'Deal Tracker'!C235&amp;"#"&amp;A235)</f>
        <v/>
      </c>
      <c r="C235" s="0" t="str">
        <f aca="false">IF('Deal Tracker'!B235="","",'Deal Tracker'!B235)</f>
        <v/>
      </c>
      <c r="D235" s="0" t="str">
        <f aca="false">IF('Deal Tracker'!B235="","",IF('Deal Tracker'!D235="","TBD","$"&amp;TEXT('Deal Tracker'!D235,"#,##0")&amp;"M"))</f>
        <v/>
      </c>
      <c r="E235" s="0" t="str">
        <f aca="false">IF('Deal Tracker'!B235="","",IF(AND(F235="",G235=""),"",F235&amp;IF(OR(F235="",G235=""),"","  ·  ")&amp;G235))</f>
        <v/>
      </c>
      <c r="F235" s="0" t="str">
        <f aca="false">IF('Deal Tracker'!F235="",IF('Deal Tracker'!G235="","",'Deal Tracker'!G235),'Deal Tracker'!F235&amp;IF('Deal Tracker'!G235="","",", "&amp;'Deal Tracker'!G235))</f>
        <v/>
      </c>
      <c r="G235" s="0" t="str">
        <f aca="false">IF('Deal Tracker'!H235="","","Target: "&amp;TEXT('Deal Tracker'!H235,"mmm yyyy"))</f>
        <v/>
      </c>
    </row>
    <row r="236" customFormat="false" ht="15" hidden="false" customHeight="false" outlineLevel="0" collapsed="false">
      <c r="A236" s="0" t="str">
        <f aca="false">IF('Deal Tracker'!C236="","",COUNTIF('Deal Tracker'!$C$2:C236,'Deal Tracker'!C236))</f>
        <v/>
      </c>
      <c r="B236" s="0" t="str">
        <f aca="false">IF(A236="","",'Deal Tracker'!C236&amp;"#"&amp;A236)</f>
        <v/>
      </c>
      <c r="C236" s="0" t="str">
        <f aca="false">IF('Deal Tracker'!B236="","",'Deal Tracker'!B236)</f>
        <v/>
      </c>
      <c r="D236" s="0" t="str">
        <f aca="false">IF('Deal Tracker'!B236="","",IF('Deal Tracker'!D236="","TBD","$"&amp;TEXT('Deal Tracker'!D236,"#,##0")&amp;"M"))</f>
        <v/>
      </c>
      <c r="E236" s="0" t="str">
        <f aca="false">IF('Deal Tracker'!B236="","",IF(AND(F236="",G236=""),"",F236&amp;IF(OR(F236="",G236=""),"","  ·  ")&amp;G236))</f>
        <v/>
      </c>
      <c r="F236" s="0" t="str">
        <f aca="false">IF('Deal Tracker'!F236="",IF('Deal Tracker'!G236="","",'Deal Tracker'!G236),'Deal Tracker'!F236&amp;IF('Deal Tracker'!G236="","",", "&amp;'Deal Tracker'!G236))</f>
        <v/>
      </c>
      <c r="G236" s="0" t="str">
        <f aca="false">IF('Deal Tracker'!H236="","","Target: "&amp;TEXT('Deal Tracker'!H236,"mmm yyyy"))</f>
        <v/>
      </c>
    </row>
    <row r="237" customFormat="false" ht="15" hidden="false" customHeight="false" outlineLevel="0" collapsed="false">
      <c r="A237" s="0" t="str">
        <f aca="false">IF('Deal Tracker'!C237="","",COUNTIF('Deal Tracker'!$C$2:C237,'Deal Tracker'!C237))</f>
        <v/>
      </c>
      <c r="B237" s="0" t="str">
        <f aca="false">IF(A237="","",'Deal Tracker'!C237&amp;"#"&amp;A237)</f>
        <v/>
      </c>
      <c r="C237" s="0" t="str">
        <f aca="false">IF('Deal Tracker'!B237="","",'Deal Tracker'!B237)</f>
        <v/>
      </c>
      <c r="D237" s="0" t="str">
        <f aca="false">IF('Deal Tracker'!B237="","",IF('Deal Tracker'!D237="","TBD","$"&amp;TEXT('Deal Tracker'!D237,"#,##0")&amp;"M"))</f>
        <v/>
      </c>
      <c r="E237" s="0" t="str">
        <f aca="false">IF('Deal Tracker'!B237="","",IF(AND(F237="",G237=""),"",F237&amp;IF(OR(F237="",G237=""),"","  ·  ")&amp;G237))</f>
        <v/>
      </c>
      <c r="F237" s="0" t="str">
        <f aca="false">IF('Deal Tracker'!F237="",IF('Deal Tracker'!G237="","",'Deal Tracker'!G237),'Deal Tracker'!F237&amp;IF('Deal Tracker'!G237="","",", "&amp;'Deal Tracker'!G237))</f>
        <v/>
      </c>
      <c r="G237" s="0" t="str">
        <f aca="false">IF('Deal Tracker'!H237="","","Target: "&amp;TEXT('Deal Tracker'!H237,"mmm yyyy"))</f>
        <v/>
      </c>
    </row>
    <row r="238" customFormat="false" ht="15" hidden="false" customHeight="false" outlineLevel="0" collapsed="false">
      <c r="A238" s="0" t="str">
        <f aca="false">IF('Deal Tracker'!C238="","",COUNTIF('Deal Tracker'!$C$2:C238,'Deal Tracker'!C238))</f>
        <v/>
      </c>
      <c r="B238" s="0" t="str">
        <f aca="false">IF(A238="","",'Deal Tracker'!C238&amp;"#"&amp;A238)</f>
        <v/>
      </c>
      <c r="C238" s="0" t="str">
        <f aca="false">IF('Deal Tracker'!B238="","",'Deal Tracker'!B238)</f>
        <v/>
      </c>
      <c r="D238" s="0" t="str">
        <f aca="false">IF('Deal Tracker'!B238="","",IF('Deal Tracker'!D238="","TBD","$"&amp;TEXT('Deal Tracker'!D238,"#,##0")&amp;"M"))</f>
        <v/>
      </c>
      <c r="E238" s="0" t="str">
        <f aca="false">IF('Deal Tracker'!B238="","",IF(AND(F238="",G238=""),"",F238&amp;IF(OR(F238="",G238=""),"","  ·  ")&amp;G238))</f>
        <v/>
      </c>
      <c r="F238" s="0" t="str">
        <f aca="false">IF('Deal Tracker'!F238="",IF('Deal Tracker'!G238="","",'Deal Tracker'!G238),'Deal Tracker'!F238&amp;IF('Deal Tracker'!G238="","",", "&amp;'Deal Tracker'!G238))</f>
        <v/>
      </c>
      <c r="G238" s="0" t="str">
        <f aca="false">IF('Deal Tracker'!H238="","","Target: "&amp;TEXT('Deal Tracker'!H238,"mmm yyyy"))</f>
        <v/>
      </c>
    </row>
    <row r="239" customFormat="false" ht="15" hidden="false" customHeight="false" outlineLevel="0" collapsed="false">
      <c r="A239" s="0" t="str">
        <f aca="false">IF('Deal Tracker'!C239="","",COUNTIF('Deal Tracker'!$C$2:C239,'Deal Tracker'!C239))</f>
        <v/>
      </c>
      <c r="B239" s="0" t="str">
        <f aca="false">IF(A239="","",'Deal Tracker'!C239&amp;"#"&amp;A239)</f>
        <v/>
      </c>
      <c r="C239" s="0" t="str">
        <f aca="false">IF('Deal Tracker'!B239="","",'Deal Tracker'!B239)</f>
        <v/>
      </c>
      <c r="D239" s="0" t="str">
        <f aca="false">IF('Deal Tracker'!B239="","",IF('Deal Tracker'!D239="","TBD","$"&amp;TEXT('Deal Tracker'!D239,"#,##0")&amp;"M"))</f>
        <v/>
      </c>
      <c r="E239" s="0" t="str">
        <f aca="false">IF('Deal Tracker'!B239="","",IF(AND(F239="",G239=""),"",F239&amp;IF(OR(F239="",G239=""),"","  ·  ")&amp;G239))</f>
        <v/>
      </c>
      <c r="F239" s="0" t="str">
        <f aca="false">IF('Deal Tracker'!F239="",IF('Deal Tracker'!G239="","",'Deal Tracker'!G239),'Deal Tracker'!F239&amp;IF('Deal Tracker'!G239="","",", "&amp;'Deal Tracker'!G239))</f>
        <v/>
      </c>
      <c r="G239" s="0" t="str">
        <f aca="false">IF('Deal Tracker'!H239="","","Target: "&amp;TEXT('Deal Tracker'!H239,"mmm yyyy"))</f>
        <v/>
      </c>
    </row>
    <row r="240" customFormat="false" ht="15" hidden="false" customHeight="false" outlineLevel="0" collapsed="false">
      <c r="A240" s="0" t="str">
        <f aca="false">IF('Deal Tracker'!C240="","",COUNTIF('Deal Tracker'!$C$2:C240,'Deal Tracker'!C240))</f>
        <v/>
      </c>
      <c r="B240" s="0" t="str">
        <f aca="false">IF(A240="","",'Deal Tracker'!C240&amp;"#"&amp;A240)</f>
        <v/>
      </c>
      <c r="C240" s="0" t="str">
        <f aca="false">IF('Deal Tracker'!B240="","",'Deal Tracker'!B240)</f>
        <v/>
      </c>
      <c r="D240" s="0" t="str">
        <f aca="false">IF('Deal Tracker'!B240="","",IF('Deal Tracker'!D240="","TBD","$"&amp;TEXT('Deal Tracker'!D240,"#,##0")&amp;"M"))</f>
        <v/>
      </c>
      <c r="E240" s="0" t="str">
        <f aca="false">IF('Deal Tracker'!B240="","",IF(AND(F240="",G240=""),"",F240&amp;IF(OR(F240="",G240=""),"","  ·  ")&amp;G240))</f>
        <v/>
      </c>
      <c r="F240" s="0" t="str">
        <f aca="false">IF('Deal Tracker'!F240="",IF('Deal Tracker'!G240="","",'Deal Tracker'!G240),'Deal Tracker'!F240&amp;IF('Deal Tracker'!G240="","",", "&amp;'Deal Tracker'!G240))</f>
        <v/>
      </c>
      <c r="G240" s="0" t="str">
        <f aca="false">IF('Deal Tracker'!H240="","","Target: "&amp;TEXT('Deal Tracker'!H240,"mmm yyyy"))</f>
        <v/>
      </c>
    </row>
    <row r="241" customFormat="false" ht="15" hidden="false" customHeight="false" outlineLevel="0" collapsed="false">
      <c r="A241" s="0" t="str">
        <f aca="false">IF('Deal Tracker'!C241="","",COUNTIF('Deal Tracker'!$C$2:C241,'Deal Tracker'!C241))</f>
        <v/>
      </c>
      <c r="B241" s="0" t="str">
        <f aca="false">IF(A241="","",'Deal Tracker'!C241&amp;"#"&amp;A241)</f>
        <v/>
      </c>
      <c r="C241" s="0" t="str">
        <f aca="false">IF('Deal Tracker'!B241="","",'Deal Tracker'!B241)</f>
        <v/>
      </c>
      <c r="D241" s="0" t="str">
        <f aca="false">IF('Deal Tracker'!B241="","",IF('Deal Tracker'!D241="","TBD","$"&amp;TEXT('Deal Tracker'!D241,"#,##0")&amp;"M"))</f>
        <v/>
      </c>
      <c r="E241" s="0" t="str">
        <f aca="false">IF('Deal Tracker'!B241="","",IF(AND(F241="",G241=""),"",F241&amp;IF(OR(F241="",G241=""),"","  ·  ")&amp;G241))</f>
        <v/>
      </c>
      <c r="F241" s="0" t="str">
        <f aca="false">IF('Deal Tracker'!F241="",IF('Deal Tracker'!G241="","",'Deal Tracker'!G241),'Deal Tracker'!F241&amp;IF('Deal Tracker'!G241="","",", "&amp;'Deal Tracker'!G241))</f>
        <v/>
      </c>
      <c r="G241" s="0" t="str">
        <f aca="false">IF('Deal Tracker'!H241="","","Target: "&amp;TEXT('Deal Tracker'!H241,"mmm yyyy"))</f>
        <v/>
      </c>
    </row>
    <row r="242" customFormat="false" ht="15" hidden="false" customHeight="false" outlineLevel="0" collapsed="false">
      <c r="A242" s="0" t="str">
        <f aca="false">IF('Deal Tracker'!C242="","",COUNTIF('Deal Tracker'!$C$2:C242,'Deal Tracker'!C242))</f>
        <v/>
      </c>
      <c r="B242" s="0" t="str">
        <f aca="false">IF(A242="","",'Deal Tracker'!C242&amp;"#"&amp;A242)</f>
        <v/>
      </c>
      <c r="C242" s="0" t="str">
        <f aca="false">IF('Deal Tracker'!B242="","",'Deal Tracker'!B242)</f>
        <v/>
      </c>
      <c r="D242" s="0" t="str">
        <f aca="false">IF('Deal Tracker'!B242="","",IF('Deal Tracker'!D242="","TBD","$"&amp;TEXT('Deal Tracker'!D242,"#,##0")&amp;"M"))</f>
        <v/>
      </c>
      <c r="E242" s="0" t="str">
        <f aca="false">IF('Deal Tracker'!B242="","",IF(AND(F242="",G242=""),"",F242&amp;IF(OR(F242="",G242=""),"","  ·  ")&amp;G242))</f>
        <v/>
      </c>
      <c r="F242" s="0" t="str">
        <f aca="false">IF('Deal Tracker'!F242="",IF('Deal Tracker'!G242="","",'Deal Tracker'!G242),'Deal Tracker'!F242&amp;IF('Deal Tracker'!G242="","",", "&amp;'Deal Tracker'!G242))</f>
        <v/>
      </c>
      <c r="G242" s="0" t="str">
        <f aca="false">IF('Deal Tracker'!H242="","","Target: "&amp;TEXT('Deal Tracker'!H242,"mmm yyyy"))</f>
        <v/>
      </c>
    </row>
    <row r="243" customFormat="false" ht="15" hidden="false" customHeight="false" outlineLevel="0" collapsed="false">
      <c r="A243" s="0" t="str">
        <f aca="false">IF('Deal Tracker'!C243="","",COUNTIF('Deal Tracker'!$C$2:C243,'Deal Tracker'!C243))</f>
        <v/>
      </c>
      <c r="B243" s="0" t="str">
        <f aca="false">IF(A243="","",'Deal Tracker'!C243&amp;"#"&amp;A243)</f>
        <v/>
      </c>
      <c r="C243" s="0" t="str">
        <f aca="false">IF('Deal Tracker'!B243="","",'Deal Tracker'!B243)</f>
        <v/>
      </c>
      <c r="D243" s="0" t="str">
        <f aca="false">IF('Deal Tracker'!B243="","",IF('Deal Tracker'!D243="","TBD","$"&amp;TEXT('Deal Tracker'!D243,"#,##0")&amp;"M"))</f>
        <v/>
      </c>
      <c r="E243" s="0" t="str">
        <f aca="false">IF('Deal Tracker'!B243="","",IF(AND(F243="",G243=""),"",F243&amp;IF(OR(F243="",G243=""),"","  ·  ")&amp;G243))</f>
        <v/>
      </c>
      <c r="F243" s="0" t="str">
        <f aca="false">IF('Deal Tracker'!F243="",IF('Deal Tracker'!G243="","",'Deal Tracker'!G243),'Deal Tracker'!F243&amp;IF('Deal Tracker'!G243="","",", "&amp;'Deal Tracker'!G243))</f>
        <v/>
      </c>
      <c r="G243" s="0" t="str">
        <f aca="false">IF('Deal Tracker'!H243="","","Target: "&amp;TEXT('Deal Tracker'!H243,"mmm yyyy"))</f>
        <v/>
      </c>
    </row>
    <row r="244" customFormat="false" ht="15" hidden="false" customHeight="false" outlineLevel="0" collapsed="false">
      <c r="A244" s="0" t="str">
        <f aca="false">IF('Deal Tracker'!C244="","",COUNTIF('Deal Tracker'!$C$2:C244,'Deal Tracker'!C244))</f>
        <v/>
      </c>
      <c r="B244" s="0" t="str">
        <f aca="false">IF(A244="","",'Deal Tracker'!C244&amp;"#"&amp;A244)</f>
        <v/>
      </c>
      <c r="C244" s="0" t="str">
        <f aca="false">IF('Deal Tracker'!B244="","",'Deal Tracker'!B244)</f>
        <v/>
      </c>
      <c r="D244" s="0" t="str">
        <f aca="false">IF('Deal Tracker'!B244="","",IF('Deal Tracker'!D244="","TBD","$"&amp;TEXT('Deal Tracker'!D244,"#,##0")&amp;"M"))</f>
        <v/>
      </c>
      <c r="E244" s="0" t="str">
        <f aca="false">IF('Deal Tracker'!B244="","",IF(AND(F244="",G244=""),"",F244&amp;IF(OR(F244="",G244=""),"","  ·  ")&amp;G244))</f>
        <v/>
      </c>
      <c r="F244" s="0" t="str">
        <f aca="false">IF('Deal Tracker'!F244="",IF('Deal Tracker'!G244="","",'Deal Tracker'!G244),'Deal Tracker'!F244&amp;IF('Deal Tracker'!G244="","",", "&amp;'Deal Tracker'!G244))</f>
        <v/>
      </c>
      <c r="G244" s="0" t="str">
        <f aca="false">IF('Deal Tracker'!H244="","","Target: "&amp;TEXT('Deal Tracker'!H244,"mmm yyyy"))</f>
        <v/>
      </c>
    </row>
    <row r="245" customFormat="false" ht="15" hidden="false" customHeight="false" outlineLevel="0" collapsed="false">
      <c r="A245" s="0" t="str">
        <f aca="false">IF('Deal Tracker'!C245="","",COUNTIF('Deal Tracker'!$C$2:C245,'Deal Tracker'!C245))</f>
        <v/>
      </c>
      <c r="B245" s="0" t="str">
        <f aca="false">IF(A245="","",'Deal Tracker'!C245&amp;"#"&amp;A245)</f>
        <v/>
      </c>
      <c r="C245" s="0" t="str">
        <f aca="false">IF('Deal Tracker'!B245="","",'Deal Tracker'!B245)</f>
        <v/>
      </c>
      <c r="D245" s="0" t="str">
        <f aca="false">IF('Deal Tracker'!B245="","",IF('Deal Tracker'!D245="","TBD","$"&amp;TEXT('Deal Tracker'!D245,"#,##0")&amp;"M"))</f>
        <v/>
      </c>
      <c r="E245" s="0" t="str">
        <f aca="false">IF('Deal Tracker'!B245="","",IF(AND(F245="",G245=""),"",F245&amp;IF(OR(F245="",G245=""),"","  ·  ")&amp;G245))</f>
        <v/>
      </c>
      <c r="F245" s="0" t="str">
        <f aca="false">IF('Deal Tracker'!F245="",IF('Deal Tracker'!G245="","",'Deal Tracker'!G245),'Deal Tracker'!F245&amp;IF('Deal Tracker'!G245="","",", "&amp;'Deal Tracker'!G245))</f>
        <v/>
      </c>
      <c r="G245" s="0" t="str">
        <f aca="false">IF('Deal Tracker'!H245="","","Target: "&amp;TEXT('Deal Tracker'!H245,"mmm yyyy"))</f>
        <v/>
      </c>
    </row>
    <row r="246" customFormat="false" ht="15" hidden="false" customHeight="false" outlineLevel="0" collapsed="false">
      <c r="A246" s="0" t="str">
        <f aca="false">IF('Deal Tracker'!C246="","",COUNTIF('Deal Tracker'!$C$2:C246,'Deal Tracker'!C246))</f>
        <v/>
      </c>
      <c r="B246" s="0" t="str">
        <f aca="false">IF(A246="","",'Deal Tracker'!C246&amp;"#"&amp;A246)</f>
        <v/>
      </c>
      <c r="C246" s="0" t="str">
        <f aca="false">IF('Deal Tracker'!B246="","",'Deal Tracker'!B246)</f>
        <v/>
      </c>
      <c r="D246" s="0" t="str">
        <f aca="false">IF('Deal Tracker'!B246="","",IF('Deal Tracker'!D246="","TBD","$"&amp;TEXT('Deal Tracker'!D246,"#,##0")&amp;"M"))</f>
        <v/>
      </c>
      <c r="E246" s="0" t="str">
        <f aca="false">IF('Deal Tracker'!B246="","",IF(AND(F246="",G246=""),"",F246&amp;IF(OR(F246="",G246=""),"","  ·  ")&amp;G246))</f>
        <v/>
      </c>
      <c r="F246" s="0" t="str">
        <f aca="false">IF('Deal Tracker'!F246="",IF('Deal Tracker'!G246="","",'Deal Tracker'!G246),'Deal Tracker'!F246&amp;IF('Deal Tracker'!G246="","",", "&amp;'Deal Tracker'!G246))</f>
        <v/>
      </c>
      <c r="G246" s="0" t="str">
        <f aca="false">IF('Deal Tracker'!H246="","","Target: "&amp;TEXT('Deal Tracker'!H246,"mmm yyyy"))</f>
        <v/>
      </c>
    </row>
    <row r="247" customFormat="false" ht="15" hidden="false" customHeight="false" outlineLevel="0" collapsed="false">
      <c r="A247" s="0" t="str">
        <f aca="false">IF('Deal Tracker'!C247="","",COUNTIF('Deal Tracker'!$C$2:C247,'Deal Tracker'!C247))</f>
        <v/>
      </c>
      <c r="B247" s="0" t="str">
        <f aca="false">IF(A247="","",'Deal Tracker'!C247&amp;"#"&amp;A247)</f>
        <v/>
      </c>
      <c r="C247" s="0" t="str">
        <f aca="false">IF('Deal Tracker'!B247="","",'Deal Tracker'!B247)</f>
        <v/>
      </c>
      <c r="D247" s="0" t="str">
        <f aca="false">IF('Deal Tracker'!B247="","",IF('Deal Tracker'!D247="","TBD","$"&amp;TEXT('Deal Tracker'!D247,"#,##0")&amp;"M"))</f>
        <v/>
      </c>
      <c r="E247" s="0" t="str">
        <f aca="false">IF('Deal Tracker'!B247="","",IF(AND(F247="",G247=""),"",F247&amp;IF(OR(F247="",G247=""),"","  ·  ")&amp;G247))</f>
        <v/>
      </c>
      <c r="F247" s="0" t="str">
        <f aca="false">IF('Deal Tracker'!F247="",IF('Deal Tracker'!G247="","",'Deal Tracker'!G247),'Deal Tracker'!F247&amp;IF('Deal Tracker'!G247="","",", "&amp;'Deal Tracker'!G247))</f>
        <v/>
      </c>
      <c r="G247" s="0" t="str">
        <f aca="false">IF('Deal Tracker'!H247="","","Target: "&amp;TEXT('Deal Tracker'!H247,"mmm yyyy"))</f>
        <v/>
      </c>
    </row>
    <row r="248" customFormat="false" ht="15" hidden="false" customHeight="false" outlineLevel="0" collapsed="false">
      <c r="A248" s="0" t="str">
        <f aca="false">IF('Deal Tracker'!C248="","",COUNTIF('Deal Tracker'!$C$2:C248,'Deal Tracker'!C248))</f>
        <v/>
      </c>
      <c r="B248" s="0" t="str">
        <f aca="false">IF(A248="","",'Deal Tracker'!C248&amp;"#"&amp;A248)</f>
        <v/>
      </c>
      <c r="C248" s="0" t="str">
        <f aca="false">IF('Deal Tracker'!B248="","",'Deal Tracker'!B248)</f>
        <v/>
      </c>
      <c r="D248" s="0" t="str">
        <f aca="false">IF('Deal Tracker'!B248="","",IF('Deal Tracker'!D248="","TBD","$"&amp;TEXT('Deal Tracker'!D248,"#,##0")&amp;"M"))</f>
        <v/>
      </c>
      <c r="E248" s="0" t="str">
        <f aca="false">IF('Deal Tracker'!B248="","",IF(AND(F248="",G248=""),"",F248&amp;IF(OR(F248="",G248=""),"","  ·  ")&amp;G248))</f>
        <v/>
      </c>
      <c r="F248" s="0" t="str">
        <f aca="false">IF('Deal Tracker'!F248="",IF('Deal Tracker'!G248="","",'Deal Tracker'!G248),'Deal Tracker'!F248&amp;IF('Deal Tracker'!G248="","",", "&amp;'Deal Tracker'!G248))</f>
        <v/>
      </c>
      <c r="G248" s="0" t="str">
        <f aca="false">IF('Deal Tracker'!H248="","","Target: "&amp;TEXT('Deal Tracker'!H248,"mmm yyyy"))</f>
        <v/>
      </c>
    </row>
    <row r="249" customFormat="false" ht="15" hidden="false" customHeight="false" outlineLevel="0" collapsed="false">
      <c r="A249" s="0" t="str">
        <f aca="false">IF('Deal Tracker'!C249="","",COUNTIF('Deal Tracker'!$C$2:C249,'Deal Tracker'!C249))</f>
        <v/>
      </c>
      <c r="B249" s="0" t="str">
        <f aca="false">IF(A249="","",'Deal Tracker'!C249&amp;"#"&amp;A249)</f>
        <v/>
      </c>
      <c r="C249" s="0" t="str">
        <f aca="false">IF('Deal Tracker'!B249="","",'Deal Tracker'!B249)</f>
        <v/>
      </c>
      <c r="D249" s="0" t="str">
        <f aca="false">IF('Deal Tracker'!B249="","",IF('Deal Tracker'!D249="","TBD","$"&amp;TEXT('Deal Tracker'!D249,"#,##0")&amp;"M"))</f>
        <v/>
      </c>
      <c r="E249" s="0" t="str">
        <f aca="false">IF('Deal Tracker'!B249="","",IF(AND(F249="",G249=""),"",F249&amp;IF(OR(F249="",G249=""),"","  ·  ")&amp;G249))</f>
        <v/>
      </c>
      <c r="F249" s="0" t="str">
        <f aca="false">IF('Deal Tracker'!F249="",IF('Deal Tracker'!G249="","",'Deal Tracker'!G249),'Deal Tracker'!F249&amp;IF('Deal Tracker'!G249="","",", "&amp;'Deal Tracker'!G249))</f>
        <v/>
      </c>
      <c r="G249" s="0" t="str">
        <f aca="false">IF('Deal Tracker'!H249="","","Target: "&amp;TEXT('Deal Tracker'!H249,"mmm yyyy"))</f>
        <v/>
      </c>
    </row>
    <row r="250" customFormat="false" ht="15" hidden="false" customHeight="false" outlineLevel="0" collapsed="false">
      <c r="A250" s="0" t="str">
        <f aca="false">IF('Deal Tracker'!C250="","",COUNTIF('Deal Tracker'!$C$2:C250,'Deal Tracker'!C250))</f>
        <v/>
      </c>
      <c r="B250" s="0" t="str">
        <f aca="false">IF(A250="","",'Deal Tracker'!C250&amp;"#"&amp;A250)</f>
        <v/>
      </c>
      <c r="C250" s="0" t="str">
        <f aca="false">IF('Deal Tracker'!B250="","",'Deal Tracker'!B250)</f>
        <v/>
      </c>
      <c r="D250" s="0" t="str">
        <f aca="false">IF('Deal Tracker'!B250="","",IF('Deal Tracker'!D250="","TBD","$"&amp;TEXT('Deal Tracker'!D250,"#,##0")&amp;"M"))</f>
        <v/>
      </c>
      <c r="E250" s="0" t="str">
        <f aca="false">IF('Deal Tracker'!B250="","",IF(AND(F250="",G250=""),"",F250&amp;IF(OR(F250="",G250=""),"","  ·  ")&amp;G250))</f>
        <v/>
      </c>
      <c r="F250" s="0" t="str">
        <f aca="false">IF('Deal Tracker'!F250="",IF('Deal Tracker'!G250="","",'Deal Tracker'!G250),'Deal Tracker'!F250&amp;IF('Deal Tracker'!G250="","",", "&amp;'Deal Tracker'!G250))</f>
        <v/>
      </c>
      <c r="G250" s="0" t="str">
        <f aca="false">IF('Deal Tracker'!H250="","","Target: "&amp;TEXT('Deal Tracker'!H250,"mmm yyyy"))</f>
        <v/>
      </c>
    </row>
    <row r="251" customFormat="false" ht="15" hidden="false" customHeight="false" outlineLevel="0" collapsed="false">
      <c r="A251" s="0" t="str">
        <f aca="false">IF('Deal Tracker'!C251="","",COUNTIF('Deal Tracker'!$C$2:C251,'Deal Tracker'!C251))</f>
        <v/>
      </c>
      <c r="B251" s="0" t="str">
        <f aca="false">IF(A251="","",'Deal Tracker'!C251&amp;"#"&amp;A251)</f>
        <v/>
      </c>
      <c r="C251" s="0" t="str">
        <f aca="false">IF('Deal Tracker'!B251="","",'Deal Tracker'!B251)</f>
        <v/>
      </c>
      <c r="D251" s="0" t="str">
        <f aca="false">IF('Deal Tracker'!B251="","",IF('Deal Tracker'!D251="","TBD","$"&amp;TEXT('Deal Tracker'!D251,"#,##0")&amp;"M"))</f>
        <v/>
      </c>
      <c r="E251" s="0" t="str">
        <f aca="false">IF('Deal Tracker'!B251="","",IF(AND(F251="",G251=""),"",F251&amp;IF(OR(F251="",G251=""),"","  ·  ")&amp;G251))</f>
        <v/>
      </c>
      <c r="F251" s="0" t="str">
        <f aca="false">IF('Deal Tracker'!F251="",IF('Deal Tracker'!G251="","",'Deal Tracker'!G251),'Deal Tracker'!F251&amp;IF('Deal Tracker'!G251="","",", "&amp;'Deal Tracker'!G251))</f>
        <v/>
      </c>
      <c r="G251" s="0" t="str">
        <f aca="false">IF('Deal Tracker'!H251="","","Target: "&amp;TEXT('Deal Tracker'!H251,"mmm yyyy"))</f>
        <v/>
      </c>
    </row>
    <row r="252" customFormat="false" ht="15" hidden="false" customHeight="false" outlineLevel="0" collapsed="false">
      <c r="A252" s="0" t="str">
        <f aca="false">IF('Deal Tracker'!C252="","",COUNTIF('Deal Tracker'!$C$2:C252,'Deal Tracker'!C252))</f>
        <v/>
      </c>
      <c r="B252" s="0" t="str">
        <f aca="false">IF(A252="","",'Deal Tracker'!C252&amp;"#"&amp;A252)</f>
        <v/>
      </c>
      <c r="C252" s="0" t="str">
        <f aca="false">IF('Deal Tracker'!B252="","",'Deal Tracker'!B252)</f>
        <v/>
      </c>
      <c r="D252" s="0" t="str">
        <f aca="false">IF('Deal Tracker'!B252="","",IF('Deal Tracker'!D252="","TBD","$"&amp;TEXT('Deal Tracker'!D252,"#,##0")&amp;"M"))</f>
        <v/>
      </c>
      <c r="E252" s="0" t="str">
        <f aca="false">IF('Deal Tracker'!B252="","",IF(AND(F252="",G252=""),"",F252&amp;IF(OR(F252="",G252=""),"","  ·  ")&amp;G252))</f>
        <v/>
      </c>
      <c r="F252" s="0" t="str">
        <f aca="false">IF('Deal Tracker'!F252="",IF('Deal Tracker'!G252="","",'Deal Tracker'!G252),'Deal Tracker'!F252&amp;IF('Deal Tracker'!G252="","",", "&amp;'Deal Tracker'!G252))</f>
        <v/>
      </c>
      <c r="G252" s="0" t="str">
        <f aca="false">IF('Deal Tracker'!H252="","","Target: "&amp;TEXT('Deal Tracker'!H252,"mmm yyyy"))</f>
        <v/>
      </c>
    </row>
    <row r="253" customFormat="false" ht="15" hidden="false" customHeight="false" outlineLevel="0" collapsed="false">
      <c r="A253" s="0" t="str">
        <f aca="false">IF('Deal Tracker'!C253="","",COUNTIF('Deal Tracker'!$C$2:C253,'Deal Tracker'!C253))</f>
        <v/>
      </c>
      <c r="B253" s="0" t="str">
        <f aca="false">IF(A253="","",'Deal Tracker'!C253&amp;"#"&amp;A253)</f>
        <v/>
      </c>
      <c r="C253" s="0" t="str">
        <f aca="false">IF('Deal Tracker'!B253="","",'Deal Tracker'!B253)</f>
        <v/>
      </c>
      <c r="D253" s="0" t="str">
        <f aca="false">IF('Deal Tracker'!B253="","",IF('Deal Tracker'!D253="","TBD","$"&amp;TEXT('Deal Tracker'!D253,"#,##0")&amp;"M"))</f>
        <v/>
      </c>
      <c r="E253" s="0" t="str">
        <f aca="false">IF('Deal Tracker'!B253="","",IF(AND(F253="",G253=""),"",F253&amp;IF(OR(F253="",G253=""),"","  ·  ")&amp;G253))</f>
        <v/>
      </c>
      <c r="F253" s="0" t="str">
        <f aca="false">IF('Deal Tracker'!F253="",IF('Deal Tracker'!G253="","",'Deal Tracker'!G253),'Deal Tracker'!F253&amp;IF('Deal Tracker'!G253="","",", "&amp;'Deal Tracker'!G253))</f>
        <v/>
      </c>
      <c r="G253" s="0" t="str">
        <f aca="false">IF('Deal Tracker'!H253="","","Target: "&amp;TEXT('Deal Tracker'!H253,"mmm yyyy"))</f>
        <v/>
      </c>
    </row>
    <row r="254" customFormat="false" ht="15" hidden="false" customHeight="false" outlineLevel="0" collapsed="false">
      <c r="A254" s="0" t="str">
        <f aca="false">IF('Deal Tracker'!C254="","",COUNTIF('Deal Tracker'!$C$2:C254,'Deal Tracker'!C254))</f>
        <v/>
      </c>
      <c r="B254" s="0" t="str">
        <f aca="false">IF(A254="","",'Deal Tracker'!C254&amp;"#"&amp;A254)</f>
        <v/>
      </c>
      <c r="C254" s="0" t="str">
        <f aca="false">IF('Deal Tracker'!B254="","",'Deal Tracker'!B254)</f>
        <v/>
      </c>
      <c r="D254" s="0" t="str">
        <f aca="false">IF('Deal Tracker'!B254="","",IF('Deal Tracker'!D254="","TBD","$"&amp;TEXT('Deal Tracker'!D254,"#,##0")&amp;"M"))</f>
        <v/>
      </c>
      <c r="E254" s="0" t="str">
        <f aca="false">IF('Deal Tracker'!B254="","",IF(AND(F254="",G254=""),"",F254&amp;IF(OR(F254="",G254=""),"","  ·  ")&amp;G254))</f>
        <v/>
      </c>
      <c r="F254" s="0" t="str">
        <f aca="false">IF('Deal Tracker'!F254="",IF('Deal Tracker'!G254="","",'Deal Tracker'!G254),'Deal Tracker'!F254&amp;IF('Deal Tracker'!G254="","",", "&amp;'Deal Tracker'!G254))</f>
        <v/>
      </c>
      <c r="G254" s="0" t="str">
        <f aca="false">IF('Deal Tracker'!H254="","","Target: "&amp;TEXT('Deal Tracker'!H254,"mmm yyyy"))</f>
        <v/>
      </c>
    </row>
    <row r="255" customFormat="false" ht="15" hidden="false" customHeight="false" outlineLevel="0" collapsed="false">
      <c r="A255" s="0" t="str">
        <f aca="false">IF('Deal Tracker'!C255="","",COUNTIF('Deal Tracker'!$C$2:C255,'Deal Tracker'!C255))</f>
        <v/>
      </c>
      <c r="B255" s="0" t="str">
        <f aca="false">IF(A255="","",'Deal Tracker'!C255&amp;"#"&amp;A255)</f>
        <v/>
      </c>
      <c r="C255" s="0" t="str">
        <f aca="false">IF('Deal Tracker'!B255="","",'Deal Tracker'!B255)</f>
        <v/>
      </c>
      <c r="D255" s="0" t="str">
        <f aca="false">IF('Deal Tracker'!B255="","",IF('Deal Tracker'!D255="","TBD","$"&amp;TEXT('Deal Tracker'!D255,"#,##0")&amp;"M"))</f>
        <v/>
      </c>
      <c r="E255" s="0" t="str">
        <f aca="false">IF('Deal Tracker'!B255="","",IF(AND(F255="",G255=""),"",F255&amp;IF(OR(F255="",G255=""),"","  ·  ")&amp;G255))</f>
        <v/>
      </c>
      <c r="F255" s="0" t="str">
        <f aca="false">IF('Deal Tracker'!F255="",IF('Deal Tracker'!G255="","",'Deal Tracker'!G255),'Deal Tracker'!F255&amp;IF('Deal Tracker'!G255="","",", "&amp;'Deal Tracker'!G255))</f>
        <v/>
      </c>
      <c r="G255" s="0" t="str">
        <f aca="false">IF('Deal Tracker'!H255="","","Target: "&amp;TEXT('Deal Tracker'!H255,"mmm yyyy"))</f>
        <v/>
      </c>
    </row>
    <row r="256" customFormat="false" ht="15" hidden="false" customHeight="false" outlineLevel="0" collapsed="false">
      <c r="A256" s="0" t="str">
        <f aca="false">IF('Deal Tracker'!C256="","",COUNTIF('Deal Tracker'!$C$2:C256,'Deal Tracker'!C256))</f>
        <v/>
      </c>
      <c r="B256" s="0" t="str">
        <f aca="false">IF(A256="","",'Deal Tracker'!C256&amp;"#"&amp;A256)</f>
        <v/>
      </c>
      <c r="C256" s="0" t="str">
        <f aca="false">IF('Deal Tracker'!B256="","",'Deal Tracker'!B256)</f>
        <v/>
      </c>
      <c r="D256" s="0" t="str">
        <f aca="false">IF('Deal Tracker'!B256="","",IF('Deal Tracker'!D256="","TBD","$"&amp;TEXT('Deal Tracker'!D256,"#,##0")&amp;"M"))</f>
        <v/>
      </c>
      <c r="E256" s="0" t="str">
        <f aca="false">IF('Deal Tracker'!B256="","",IF(AND(F256="",G256=""),"",F256&amp;IF(OR(F256="",G256=""),"","  ·  ")&amp;G256))</f>
        <v/>
      </c>
      <c r="F256" s="0" t="str">
        <f aca="false">IF('Deal Tracker'!F256="",IF('Deal Tracker'!G256="","",'Deal Tracker'!G256),'Deal Tracker'!F256&amp;IF('Deal Tracker'!G256="","",", "&amp;'Deal Tracker'!G256))</f>
        <v/>
      </c>
      <c r="G256" s="0" t="str">
        <f aca="false">IF('Deal Tracker'!H256="","","Target: "&amp;TEXT('Deal Tracker'!H256,"mmm yyyy"))</f>
        <v/>
      </c>
    </row>
    <row r="257" customFormat="false" ht="15" hidden="false" customHeight="false" outlineLevel="0" collapsed="false">
      <c r="A257" s="0" t="str">
        <f aca="false">IF('Deal Tracker'!C257="","",COUNTIF('Deal Tracker'!$C$2:C257,'Deal Tracker'!C257))</f>
        <v/>
      </c>
      <c r="B257" s="0" t="str">
        <f aca="false">IF(A257="","",'Deal Tracker'!C257&amp;"#"&amp;A257)</f>
        <v/>
      </c>
      <c r="C257" s="0" t="str">
        <f aca="false">IF('Deal Tracker'!B257="","",'Deal Tracker'!B257)</f>
        <v/>
      </c>
      <c r="D257" s="0" t="str">
        <f aca="false">IF('Deal Tracker'!B257="","",IF('Deal Tracker'!D257="","TBD","$"&amp;TEXT('Deal Tracker'!D257,"#,##0")&amp;"M"))</f>
        <v/>
      </c>
      <c r="E257" s="0" t="str">
        <f aca="false">IF('Deal Tracker'!B257="","",IF(AND(F257="",G257=""),"",F257&amp;IF(OR(F257="",G257=""),"","  ·  ")&amp;G257))</f>
        <v/>
      </c>
      <c r="F257" s="0" t="str">
        <f aca="false">IF('Deal Tracker'!F257="",IF('Deal Tracker'!G257="","",'Deal Tracker'!G257),'Deal Tracker'!F257&amp;IF('Deal Tracker'!G257="","",", "&amp;'Deal Tracker'!G257))</f>
        <v/>
      </c>
      <c r="G257" s="0" t="str">
        <f aca="false">IF('Deal Tracker'!H257="","","Target: "&amp;TEXT('Deal Tracker'!H257,"mmm yyyy"))</f>
        <v/>
      </c>
    </row>
    <row r="258" customFormat="false" ht="15" hidden="false" customHeight="false" outlineLevel="0" collapsed="false">
      <c r="A258" s="0" t="str">
        <f aca="false">IF('Deal Tracker'!C258="","",COUNTIF('Deal Tracker'!$C$2:C258,'Deal Tracker'!C258))</f>
        <v/>
      </c>
      <c r="B258" s="0" t="str">
        <f aca="false">IF(A258="","",'Deal Tracker'!C258&amp;"#"&amp;A258)</f>
        <v/>
      </c>
      <c r="C258" s="0" t="str">
        <f aca="false">IF('Deal Tracker'!B258="","",'Deal Tracker'!B258)</f>
        <v/>
      </c>
      <c r="D258" s="0" t="str">
        <f aca="false">IF('Deal Tracker'!B258="","",IF('Deal Tracker'!D258="","TBD","$"&amp;TEXT('Deal Tracker'!D258,"#,##0")&amp;"M"))</f>
        <v/>
      </c>
      <c r="E258" s="0" t="str">
        <f aca="false">IF('Deal Tracker'!B258="","",IF(AND(F258="",G258=""),"",F258&amp;IF(OR(F258="",G258=""),"","  ·  ")&amp;G258))</f>
        <v/>
      </c>
      <c r="F258" s="0" t="str">
        <f aca="false">IF('Deal Tracker'!F258="",IF('Deal Tracker'!G258="","",'Deal Tracker'!G258),'Deal Tracker'!F258&amp;IF('Deal Tracker'!G258="","",", "&amp;'Deal Tracker'!G258))</f>
        <v/>
      </c>
      <c r="G258" s="0" t="str">
        <f aca="false">IF('Deal Tracker'!H258="","","Target: "&amp;TEXT('Deal Tracker'!H258,"mmm yyyy"))</f>
        <v/>
      </c>
    </row>
    <row r="259" customFormat="false" ht="15" hidden="false" customHeight="false" outlineLevel="0" collapsed="false">
      <c r="A259" s="0" t="str">
        <f aca="false">IF('Deal Tracker'!C259="","",COUNTIF('Deal Tracker'!$C$2:C259,'Deal Tracker'!C259))</f>
        <v/>
      </c>
      <c r="B259" s="0" t="str">
        <f aca="false">IF(A259="","",'Deal Tracker'!C259&amp;"#"&amp;A259)</f>
        <v/>
      </c>
      <c r="C259" s="0" t="str">
        <f aca="false">IF('Deal Tracker'!B259="","",'Deal Tracker'!B259)</f>
        <v/>
      </c>
      <c r="D259" s="0" t="str">
        <f aca="false">IF('Deal Tracker'!B259="","",IF('Deal Tracker'!D259="","TBD","$"&amp;TEXT('Deal Tracker'!D259,"#,##0")&amp;"M"))</f>
        <v/>
      </c>
      <c r="E259" s="0" t="str">
        <f aca="false">IF('Deal Tracker'!B259="","",IF(AND(F259="",G259=""),"",F259&amp;IF(OR(F259="",G259=""),"","  ·  ")&amp;G259))</f>
        <v/>
      </c>
      <c r="F259" s="0" t="str">
        <f aca="false">IF('Deal Tracker'!F259="",IF('Deal Tracker'!G259="","",'Deal Tracker'!G259),'Deal Tracker'!F259&amp;IF('Deal Tracker'!G259="","",", "&amp;'Deal Tracker'!G259))</f>
        <v/>
      </c>
      <c r="G259" s="0" t="str">
        <f aca="false">IF('Deal Tracker'!H259="","","Target: "&amp;TEXT('Deal Tracker'!H259,"mmm yyyy"))</f>
        <v/>
      </c>
    </row>
    <row r="260" customFormat="false" ht="15" hidden="false" customHeight="false" outlineLevel="0" collapsed="false">
      <c r="A260" s="0" t="str">
        <f aca="false">IF('Deal Tracker'!C260="","",COUNTIF('Deal Tracker'!$C$2:C260,'Deal Tracker'!C260))</f>
        <v/>
      </c>
      <c r="B260" s="0" t="str">
        <f aca="false">IF(A260="","",'Deal Tracker'!C260&amp;"#"&amp;A260)</f>
        <v/>
      </c>
      <c r="C260" s="0" t="str">
        <f aca="false">IF('Deal Tracker'!B260="","",'Deal Tracker'!B260)</f>
        <v/>
      </c>
      <c r="D260" s="0" t="str">
        <f aca="false">IF('Deal Tracker'!B260="","",IF('Deal Tracker'!D260="","TBD","$"&amp;TEXT('Deal Tracker'!D260,"#,##0")&amp;"M"))</f>
        <v/>
      </c>
      <c r="E260" s="0" t="str">
        <f aca="false">IF('Deal Tracker'!B260="","",IF(AND(F260="",G260=""),"",F260&amp;IF(OR(F260="",G260=""),"","  ·  ")&amp;G260))</f>
        <v/>
      </c>
      <c r="F260" s="0" t="str">
        <f aca="false">IF('Deal Tracker'!F260="",IF('Deal Tracker'!G260="","",'Deal Tracker'!G260),'Deal Tracker'!F260&amp;IF('Deal Tracker'!G260="","",", "&amp;'Deal Tracker'!G260))</f>
        <v/>
      </c>
      <c r="G260" s="0" t="str">
        <f aca="false">IF('Deal Tracker'!H260="","","Target: "&amp;TEXT('Deal Tracker'!H260,"mmm yyyy"))</f>
        <v/>
      </c>
    </row>
    <row r="261" customFormat="false" ht="15" hidden="false" customHeight="false" outlineLevel="0" collapsed="false">
      <c r="A261" s="0" t="str">
        <f aca="false">IF('Deal Tracker'!C261="","",COUNTIF('Deal Tracker'!$C$2:C261,'Deal Tracker'!C261))</f>
        <v/>
      </c>
      <c r="B261" s="0" t="str">
        <f aca="false">IF(A261="","",'Deal Tracker'!C261&amp;"#"&amp;A261)</f>
        <v/>
      </c>
      <c r="C261" s="0" t="str">
        <f aca="false">IF('Deal Tracker'!B261="","",'Deal Tracker'!B261)</f>
        <v/>
      </c>
      <c r="D261" s="0" t="str">
        <f aca="false">IF('Deal Tracker'!B261="","",IF('Deal Tracker'!D261="","TBD","$"&amp;TEXT('Deal Tracker'!D261,"#,##0")&amp;"M"))</f>
        <v/>
      </c>
      <c r="E261" s="0" t="str">
        <f aca="false">IF('Deal Tracker'!B261="","",IF(AND(F261="",G261=""),"",F261&amp;IF(OR(F261="",G261=""),"","  ·  ")&amp;G261))</f>
        <v/>
      </c>
      <c r="F261" s="0" t="str">
        <f aca="false">IF('Deal Tracker'!F261="",IF('Deal Tracker'!G261="","",'Deal Tracker'!G261),'Deal Tracker'!F261&amp;IF('Deal Tracker'!G261="","",", "&amp;'Deal Tracker'!G261))</f>
        <v/>
      </c>
      <c r="G261" s="0" t="str">
        <f aca="false">IF('Deal Tracker'!H261="","","Target: "&amp;TEXT('Deal Tracker'!H261,"mmm yyyy"))</f>
        <v/>
      </c>
    </row>
    <row r="262" customFormat="false" ht="15" hidden="false" customHeight="false" outlineLevel="0" collapsed="false">
      <c r="A262" s="0" t="str">
        <f aca="false">IF('Deal Tracker'!C262="","",COUNTIF('Deal Tracker'!$C$2:C262,'Deal Tracker'!C262))</f>
        <v/>
      </c>
      <c r="B262" s="0" t="str">
        <f aca="false">IF(A262="","",'Deal Tracker'!C262&amp;"#"&amp;A262)</f>
        <v/>
      </c>
      <c r="C262" s="0" t="str">
        <f aca="false">IF('Deal Tracker'!B262="","",'Deal Tracker'!B262)</f>
        <v/>
      </c>
      <c r="D262" s="0" t="str">
        <f aca="false">IF('Deal Tracker'!B262="","",IF('Deal Tracker'!D262="","TBD","$"&amp;TEXT('Deal Tracker'!D262,"#,##0")&amp;"M"))</f>
        <v/>
      </c>
      <c r="E262" s="0" t="str">
        <f aca="false">IF('Deal Tracker'!B262="","",IF(AND(F262="",G262=""),"",F262&amp;IF(OR(F262="",G262=""),"","  ·  ")&amp;G262))</f>
        <v/>
      </c>
      <c r="F262" s="0" t="str">
        <f aca="false">IF('Deal Tracker'!F262="",IF('Deal Tracker'!G262="","",'Deal Tracker'!G262),'Deal Tracker'!F262&amp;IF('Deal Tracker'!G262="","",", "&amp;'Deal Tracker'!G262))</f>
        <v/>
      </c>
      <c r="G262" s="0" t="str">
        <f aca="false">IF('Deal Tracker'!H262="","","Target: "&amp;TEXT('Deal Tracker'!H262,"mmm yyyy"))</f>
        <v/>
      </c>
    </row>
    <row r="263" customFormat="false" ht="15" hidden="false" customHeight="false" outlineLevel="0" collapsed="false">
      <c r="A263" s="0" t="str">
        <f aca="false">IF('Deal Tracker'!C263="","",COUNTIF('Deal Tracker'!$C$2:C263,'Deal Tracker'!C263))</f>
        <v/>
      </c>
      <c r="B263" s="0" t="str">
        <f aca="false">IF(A263="","",'Deal Tracker'!C263&amp;"#"&amp;A263)</f>
        <v/>
      </c>
      <c r="C263" s="0" t="str">
        <f aca="false">IF('Deal Tracker'!B263="","",'Deal Tracker'!B263)</f>
        <v/>
      </c>
      <c r="D263" s="0" t="str">
        <f aca="false">IF('Deal Tracker'!B263="","",IF('Deal Tracker'!D263="","TBD","$"&amp;TEXT('Deal Tracker'!D263,"#,##0")&amp;"M"))</f>
        <v/>
      </c>
      <c r="E263" s="0" t="str">
        <f aca="false">IF('Deal Tracker'!B263="","",IF(AND(F263="",G263=""),"",F263&amp;IF(OR(F263="",G263=""),"","  ·  ")&amp;G263))</f>
        <v/>
      </c>
      <c r="F263" s="0" t="str">
        <f aca="false">IF('Deal Tracker'!F263="",IF('Deal Tracker'!G263="","",'Deal Tracker'!G263),'Deal Tracker'!F263&amp;IF('Deal Tracker'!G263="","",", "&amp;'Deal Tracker'!G263))</f>
        <v/>
      </c>
      <c r="G263" s="0" t="str">
        <f aca="false">IF('Deal Tracker'!H263="","","Target: "&amp;TEXT('Deal Tracker'!H263,"mmm yyyy"))</f>
        <v/>
      </c>
    </row>
    <row r="264" customFormat="false" ht="15" hidden="false" customHeight="false" outlineLevel="0" collapsed="false">
      <c r="A264" s="0" t="str">
        <f aca="false">IF('Deal Tracker'!C264="","",COUNTIF('Deal Tracker'!$C$2:C264,'Deal Tracker'!C264))</f>
        <v/>
      </c>
      <c r="B264" s="0" t="str">
        <f aca="false">IF(A264="","",'Deal Tracker'!C264&amp;"#"&amp;A264)</f>
        <v/>
      </c>
      <c r="C264" s="0" t="str">
        <f aca="false">IF('Deal Tracker'!B264="","",'Deal Tracker'!B264)</f>
        <v/>
      </c>
      <c r="D264" s="0" t="str">
        <f aca="false">IF('Deal Tracker'!B264="","",IF('Deal Tracker'!D264="","TBD","$"&amp;TEXT('Deal Tracker'!D264,"#,##0")&amp;"M"))</f>
        <v/>
      </c>
      <c r="E264" s="0" t="str">
        <f aca="false">IF('Deal Tracker'!B264="","",IF(AND(F264="",G264=""),"",F264&amp;IF(OR(F264="",G264=""),"","  ·  ")&amp;G264))</f>
        <v/>
      </c>
      <c r="F264" s="0" t="str">
        <f aca="false">IF('Deal Tracker'!F264="",IF('Deal Tracker'!G264="","",'Deal Tracker'!G264),'Deal Tracker'!F264&amp;IF('Deal Tracker'!G264="","",", "&amp;'Deal Tracker'!G264))</f>
        <v/>
      </c>
      <c r="G264" s="0" t="str">
        <f aca="false">IF('Deal Tracker'!H264="","","Target: "&amp;TEXT('Deal Tracker'!H264,"mmm yyyy"))</f>
        <v/>
      </c>
    </row>
    <row r="265" customFormat="false" ht="15" hidden="false" customHeight="false" outlineLevel="0" collapsed="false">
      <c r="A265" s="0" t="str">
        <f aca="false">IF('Deal Tracker'!C265="","",COUNTIF('Deal Tracker'!$C$2:C265,'Deal Tracker'!C265))</f>
        <v/>
      </c>
      <c r="B265" s="0" t="str">
        <f aca="false">IF(A265="","",'Deal Tracker'!C265&amp;"#"&amp;A265)</f>
        <v/>
      </c>
      <c r="C265" s="0" t="str">
        <f aca="false">IF('Deal Tracker'!B265="","",'Deal Tracker'!B265)</f>
        <v/>
      </c>
      <c r="D265" s="0" t="str">
        <f aca="false">IF('Deal Tracker'!B265="","",IF('Deal Tracker'!D265="","TBD","$"&amp;TEXT('Deal Tracker'!D265,"#,##0")&amp;"M"))</f>
        <v/>
      </c>
      <c r="E265" s="0" t="str">
        <f aca="false">IF('Deal Tracker'!B265="","",IF(AND(F265="",G265=""),"",F265&amp;IF(OR(F265="",G265=""),"","  ·  ")&amp;G265))</f>
        <v/>
      </c>
      <c r="F265" s="0" t="str">
        <f aca="false">IF('Deal Tracker'!F265="",IF('Deal Tracker'!G265="","",'Deal Tracker'!G265),'Deal Tracker'!F265&amp;IF('Deal Tracker'!G265="","",", "&amp;'Deal Tracker'!G265))</f>
        <v/>
      </c>
      <c r="G265" s="0" t="str">
        <f aca="false">IF('Deal Tracker'!H265="","","Target: "&amp;TEXT('Deal Tracker'!H265,"mmm yyyy"))</f>
        <v/>
      </c>
    </row>
    <row r="266" customFormat="false" ht="15" hidden="false" customHeight="false" outlineLevel="0" collapsed="false">
      <c r="A266" s="0" t="str">
        <f aca="false">IF('Deal Tracker'!C266="","",COUNTIF('Deal Tracker'!$C$2:C266,'Deal Tracker'!C266))</f>
        <v/>
      </c>
      <c r="B266" s="0" t="str">
        <f aca="false">IF(A266="","",'Deal Tracker'!C266&amp;"#"&amp;A266)</f>
        <v/>
      </c>
      <c r="C266" s="0" t="str">
        <f aca="false">IF('Deal Tracker'!B266="","",'Deal Tracker'!B266)</f>
        <v/>
      </c>
      <c r="D266" s="0" t="str">
        <f aca="false">IF('Deal Tracker'!B266="","",IF('Deal Tracker'!D266="","TBD","$"&amp;TEXT('Deal Tracker'!D266,"#,##0")&amp;"M"))</f>
        <v/>
      </c>
      <c r="E266" s="0" t="str">
        <f aca="false">IF('Deal Tracker'!B266="","",IF(AND(F266="",G266=""),"",F266&amp;IF(OR(F266="",G266=""),"","  ·  ")&amp;G266))</f>
        <v/>
      </c>
      <c r="F266" s="0" t="str">
        <f aca="false">IF('Deal Tracker'!F266="",IF('Deal Tracker'!G266="","",'Deal Tracker'!G266),'Deal Tracker'!F266&amp;IF('Deal Tracker'!G266="","",", "&amp;'Deal Tracker'!G266))</f>
        <v/>
      </c>
      <c r="G266" s="0" t="str">
        <f aca="false">IF('Deal Tracker'!H266="","","Target: "&amp;TEXT('Deal Tracker'!H266,"mmm yyyy"))</f>
        <v/>
      </c>
    </row>
    <row r="267" customFormat="false" ht="15" hidden="false" customHeight="false" outlineLevel="0" collapsed="false">
      <c r="A267" s="0" t="str">
        <f aca="false">IF('Deal Tracker'!C267="","",COUNTIF('Deal Tracker'!$C$2:C267,'Deal Tracker'!C267))</f>
        <v/>
      </c>
      <c r="B267" s="0" t="str">
        <f aca="false">IF(A267="","",'Deal Tracker'!C267&amp;"#"&amp;A267)</f>
        <v/>
      </c>
      <c r="C267" s="0" t="str">
        <f aca="false">IF('Deal Tracker'!B267="","",'Deal Tracker'!B267)</f>
        <v/>
      </c>
      <c r="D267" s="0" t="str">
        <f aca="false">IF('Deal Tracker'!B267="","",IF('Deal Tracker'!D267="","TBD","$"&amp;TEXT('Deal Tracker'!D267,"#,##0")&amp;"M"))</f>
        <v/>
      </c>
      <c r="E267" s="0" t="str">
        <f aca="false">IF('Deal Tracker'!B267="","",IF(AND(F267="",G267=""),"",F267&amp;IF(OR(F267="",G267=""),"","  ·  ")&amp;G267))</f>
        <v/>
      </c>
      <c r="F267" s="0" t="str">
        <f aca="false">IF('Deal Tracker'!F267="",IF('Deal Tracker'!G267="","",'Deal Tracker'!G267),'Deal Tracker'!F267&amp;IF('Deal Tracker'!G267="","",", "&amp;'Deal Tracker'!G267))</f>
        <v/>
      </c>
      <c r="G267" s="0" t="str">
        <f aca="false">IF('Deal Tracker'!H267="","","Target: "&amp;TEXT('Deal Tracker'!H267,"mmm yyyy"))</f>
        <v/>
      </c>
    </row>
    <row r="268" customFormat="false" ht="15" hidden="false" customHeight="false" outlineLevel="0" collapsed="false">
      <c r="A268" s="0" t="str">
        <f aca="false">IF('Deal Tracker'!C268="","",COUNTIF('Deal Tracker'!$C$2:C268,'Deal Tracker'!C268))</f>
        <v/>
      </c>
      <c r="B268" s="0" t="str">
        <f aca="false">IF(A268="","",'Deal Tracker'!C268&amp;"#"&amp;A268)</f>
        <v/>
      </c>
      <c r="C268" s="0" t="str">
        <f aca="false">IF('Deal Tracker'!B268="","",'Deal Tracker'!B268)</f>
        <v/>
      </c>
      <c r="D268" s="0" t="str">
        <f aca="false">IF('Deal Tracker'!B268="","",IF('Deal Tracker'!D268="","TBD","$"&amp;TEXT('Deal Tracker'!D268,"#,##0")&amp;"M"))</f>
        <v/>
      </c>
      <c r="E268" s="0" t="str">
        <f aca="false">IF('Deal Tracker'!B268="","",IF(AND(F268="",G268=""),"",F268&amp;IF(OR(F268="",G268=""),"","  ·  ")&amp;G268))</f>
        <v/>
      </c>
      <c r="F268" s="0" t="str">
        <f aca="false">IF('Deal Tracker'!F268="",IF('Deal Tracker'!G268="","",'Deal Tracker'!G268),'Deal Tracker'!F268&amp;IF('Deal Tracker'!G268="","",", "&amp;'Deal Tracker'!G268))</f>
        <v/>
      </c>
      <c r="G268" s="0" t="str">
        <f aca="false">IF('Deal Tracker'!H268="","","Target: "&amp;TEXT('Deal Tracker'!H268,"mmm yyyy"))</f>
        <v/>
      </c>
    </row>
    <row r="269" customFormat="false" ht="15" hidden="false" customHeight="false" outlineLevel="0" collapsed="false">
      <c r="A269" s="0" t="str">
        <f aca="false">IF('Deal Tracker'!C269="","",COUNTIF('Deal Tracker'!$C$2:C269,'Deal Tracker'!C269))</f>
        <v/>
      </c>
      <c r="B269" s="0" t="str">
        <f aca="false">IF(A269="","",'Deal Tracker'!C269&amp;"#"&amp;A269)</f>
        <v/>
      </c>
      <c r="C269" s="0" t="str">
        <f aca="false">IF('Deal Tracker'!B269="","",'Deal Tracker'!B269)</f>
        <v/>
      </c>
      <c r="D269" s="0" t="str">
        <f aca="false">IF('Deal Tracker'!B269="","",IF('Deal Tracker'!D269="","TBD","$"&amp;TEXT('Deal Tracker'!D269,"#,##0")&amp;"M"))</f>
        <v/>
      </c>
      <c r="E269" s="0" t="str">
        <f aca="false">IF('Deal Tracker'!B269="","",IF(AND(F269="",G269=""),"",F269&amp;IF(OR(F269="",G269=""),"","  ·  ")&amp;G269))</f>
        <v/>
      </c>
      <c r="F269" s="0" t="str">
        <f aca="false">IF('Deal Tracker'!F269="",IF('Deal Tracker'!G269="","",'Deal Tracker'!G269),'Deal Tracker'!F269&amp;IF('Deal Tracker'!G269="","",", "&amp;'Deal Tracker'!G269))</f>
        <v/>
      </c>
      <c r="G269" s="0" t="str">
        <f aca="false">IF('Deal Tracker'!H269="","","Target: "&amp;TEXT('Deal Tracker'!H269,"mmm yyyy"))</f>
        <v/>
      </c>
    </row>
    <row r="270" customFormat="false" ht="15" hidden="false" customHeight="false" outlineLevel="0" collapsed="false">
      <c r="A270" s="0" t="str">
        <f aca="false">IF('Deal Tracker'!C270="","",COUNTIF('Deal Tracker'!$C$2:C270,'Deal Tracker'!C270))</f>
        <v/>
      </c>
      <c r="B270" s="0" t="str">
        <f aca="false">IF(A270="","",'Deal Tracker'!C270&amp;"#"&amp;A270)</f>
        <v/>
      </c>
      <c r="C270" s="0" t="str">
        <f aca="false">IF('Deal Tracker'!B270="","",'Deal Tracker'!B270)</f>
        <v/>
      </c>
      <c r="D270" s="0" t="str">
        <f aca="false">IF('Deal Tracker'!B270="","",IF('Deal Tracker'!D270="","TBD","$"&amp;TEXT('Deal Tracker'!D270,"#,##0")&amp;"M"))</f>
        <v/>
      </c>
      <c r="E270" s="0" t="str">
        <f aca="false">IF('Deal Tracker'!B270="","",IF(AND(F270="",G270=""),"",F270&amp;IF(OR(F270="",G270=""),"","  ·  ")&amp;G270))</f>
        <v/>
      </c>
      <c r="F270" s="0" t="str">
        <f aca="false">IF('Deal Tracker'!F270="",IF('Deal Tracker'!G270="","",'Deal Tracker'!G270),'Deal Tracker'!F270&amp;IF('Deal Tracker'!G270="","",", "&amp;'Deal Tracker'!G270))</f>
        <v/>
      </c>
      <c r="G270" s="0" t="str">
        <f aca="false">IF('Deal Tracker'!H270="","","Target: "&amp;TEXT('Deal Tracker'!H270,"mmm yyyy"))</f>
        <v/>
      </c>
    </row>
    <row r="271" customFormat="false" ht="15" hidden="false" customHeight="false" outlineLevel="0" collapsed="false">
      <c r="A271" s="0" t="str">
        <f aca="false">IF('Deal Tracker'!C271="","",COUNTIF('Deal Tracker'!$C$2:C271,'Deal Tracker'!C271))</f>
        <v/>
      </c>
      <c r="B271" s="0" t="str">
        <f aca="false">IF(A271="","",'Deal Tracker'!C271&amp;"#"&amp;A271)</f>
        <v/>
      </c>
      <c r="C271" s="0" t="str">
        <f aca="false">IF('Deal Tracker'!B271="","",'Deal Tracker'!B271)</f>
        <v/>
      </c>
      <c r="D271" s="0" t="str">
        <f aca="false">IF('Deal Tracker'!B271="","",IF('Deal Tracker'!D271="","TBD","$"&amp;TEXT('Deal Tracker'!D271,"#,##0")&amp;"M"))</f>
        <v/>
      </c>
      <c r="E271" s="0" t="str">
        <f aca="false">IF('Deal Tracker'!B271="","",IF(AND(F271="",G271=""),"",F271&amp;IF(OR(F271="",G271=""),"","  ·  ")&amp;G271))</f>
        <v/>
      </c>
      <c r="F271" s="0" t="str">
        <f aca="false">IF('Deal Tracker'!F271="",IF('Deal Tracker'!G271="","",'Deal Tracker'!G271),'Deal Tracker'!F271&amp;IF('Deal Tracker'!G271="","",", "&amp;'Deal Tracker'!G271))</f>
        <v/>
      </c>
      <c r="G271" s="0" t="str">
        <f aca="false">IF('Deal Tracker'!H271="","","Target: "&amp;TEXT('Deal Tracker'!H271,"mmm yyyy"))</f>
        <v/>
      </c>
    </row>
    <row r="272" customFormat="false" ht="15" hidden="false" customHeight="false" outlineLevel="0" collapsed="false">
      <c r="A272" s="0" t="str">
        <f aca="false">IF('Deal Tracker'!C272="","",COUNTIF('Deal Tracker'!$C$2:C272,'Deal Tracker'!C272))</f>
        <v/>
      </c>
      <c r="B272" s="0" t="str">
        <f aca="false">IF(A272="","",'Deal Tracker'!C272&amp;"#"&amp;A272)</f>
        <v/>
      </c>
      <c r="C272" s="0" t="str">
        <f aca="false">IF('Deal Tracker'!B272="","",'Deal Tracker'!B272)</f>
        <v/>
      </c>
      <c r="D272" s="0" t="str">
        <f aca="false">IF('Deal Tracker'!B272="","",IF('Deal Tracker'!D272="","TBD","$"&amp;TEXT('Deal Tracker'!D272,"#,##0")&amp;"M"))</f>
        <v/>
      </c>
      <c r="E272" s="0" t="str">
        <f aca="false">IF('Deal Tracker'!B272="","",IF(AND(F272="",G272=""),"",F272&amp;IF(OR(F272="",G272=""),"","  ·  ")&amp;G272))</f>
        <v/>
      </c>
      <c r="F272" s="0" t="str">
        <f aca="false">IF('Deal Tracker'!F272="",IF('Deal Tracker'!G272="","",'Deal Tracker'!G272),'Deal Tracker'!F272&amp;IF('Deal Tracker'!G272="","",", "&amp;'Deal Tracker'!G272))</f>
        <v/>
      </c>
      <c r="G272" s="0" t="str">
        <f aca="false">IF('Deal Tracker'!H272="","","Target: "&amp;TEXT('Deal Tracker'!H272,"mmm yyyy"))</f>
        <v/>
      </c>
    </row>
    <row r="273" customFormat="false" ht="15" hidden="false" customHeight="false" outlineLevel="0" collapsed="false">
      <c r="A273" s="0" t="str">
        <f aca="false">IF('Deal Tracker'!C273="","",COUNTIF('Deal Tracker'!$C$2:C273,'Deal Tracker'!C273))</f>
        <v/>
      </c>
      <c r="B273" s="0" t="str">
        <f aca="false">IF(A273="","",'Deal Tracker'!C273&amp;"#"&amp;A273)</f>
        <v/>
      </c>
      <c r="C273" s="0" t="str">
        <f aca="false">IF('Deal Tracker'!B273="","",'Deal Tracker'!B273)</f>
        <v/>
      </c>
      <c r="D273" s="0" t="str">
        <f aca="false">IF('Deal Tracker'!B273="","",IF('Deal Tracker'!D273="","TBD","$"&amp;TEXT('Deal Tracker'!D273,"#,##0")&amp;"M"))</f>
        <v/>
      </c>
      <c r="E273" s="0" t="str">
        <f aca="false">IF('Deal Tracker'!B273="","",IF(AND(F273="",G273=""),"",F273&amp;IF(OR(F273="",G273=""),"","  ·  ")&amp;G273))</f>
        <v/>
      </c>
      <c r="F273" s="0" t="str">
        <f aca="false">IF('Deal Tracker'!F273="",IF('Deal Tracker'!G273="","",'Deal Tracker'!G273),'Deal Tracker'!F273&amp;IF('Deal Tracker'!G273="","",", "&amp;'Deal Tracker'!G273))</f>
        <v/>
      </c>
      <c r="G273" s="0" t="str">
        <f aca="false">IF('Deal Tracker'!H273="","","Target: "&amp;TEXT('Deal Tracker'!H273,"mmm yyyy"))</f>
        <v/>
      </c>
    </row>
    <row r="274" customFormat="false" ht="15" hidden="false" customHeight="false" outlineLevel="0" collapsed="false">
      <c r="A274" s="0" t="str">
        <f aca="false">IF('Deal Tracker'!C274="","",COUNTIF('Deal Tracker'!$C$2:C274,'Deal Tracker'!C274))</f>
        <v/>
      </c>
      <c r="B274" s="0" t="str">
        <f aca="false">IF(A274="","",'Deal Tracker'!C274&amp;"#"&amp;A274)</f>
        <v/>
      </c>
      <c r="C274" s="0" t="str">
        <f aca="false">IF('Deal Tracker'!B274="","",'Deal Tracker'!B274)</f>
        <v/>
      </c>
      <c r="D274" s="0" t="str">
        <f aca="false">IF('Deal Tracker'!B274="","",IF('Deal Tracker'!D274="","TBD","$"&amp;TEXT('Deal Tracker'!D274,"#,##0")&amp;"M"))</f>
        <v/>
      </c>
      <c r="E274" s="0" t="str">
        <f aca="false">IF('Deal Tracker'!B274="","",IF(AND(F274="",G274=""),"",F274&amp;IF(OR(F274="",G274=""),"","  ·  ")&amp;G274))</f>
        <v/>
      </c>
      <c r="F274" s="0" t="str">
        <f aca="false">IF('Deal Tracker'!F274="",IF('Deal Tracker'!G274="","",'Deal Tracker'!G274),'Deal Tracker'!F274&amp;IF('Deal Tracker'!G274="","",", "&amp;'Deal Tracker'!G274))</f>
        <v/>
      </c>
      <c r="G274" s="0" t="str">
        <f aca="false">IF('Deal Tracker'!H274="","","Target: "&amp;TEXT('Deal Tracker'!H274,"mmm yyyy"))</f>
        <v/>
      </c>
    </row>
    <row r="275" customFormat="false" ht="15" hidden="false" customHeight="false" outlineLevel="0" collapsed="false">
      <c r="A275" s="0" t="str">
        <f aca="false">IF('Deal Tracker'!C275="","",COUNTIF('Deal Tracker'!$C$2:C275,'Deal Tracker'!C275))</f>
        <v/>
      </c>
      <c r="B275" s="0" t="str">
        <f aca="false">IF(A275="","",'Deal Tracker'!C275&amp;"#"&amp;A275)</f>
        <v/>
      </c>
      <c r="C275" s="0" t="str">
        <f aca="false">IF('Deal Tracker'!B275="","",'Deal Tracker'!B275)</f>
        <v/>
      </c>
      <c r="D275" s="0" t="str">
        <f aca="false">IF('Deal Tracker'!B275="","",IF('Deal Tracker'!D275="","TBD","$"&amp;TEXT('Deal Tracker'!D275,"#,##0")&amp;"M"))</f>
        <v/>
      </c>
      <c r="E275" s="0" t="str">
        <f aca="false">IF('Deal Tracker'!B275="","",IF(AND(F275="",G275=""),"",F275&amp;IF(OR(F275="",G275=""),"","  ·  ")&amp;G275))</f>
        <v/>
      </c>
      <c r="F275" s="0" t="str">
        <f aca="false">IF('Deal Tracker'!F275="",IF('Deal Tracker'!G275="","",'Deal Tracker'!G275),'Deal Tracker'!F275&amp;IF('Deal Tracker'!G275="","",", "&amp;'Deal Tracker'!G275))</f>
        <v/>
      </c>
      <c r="G275" s="0" t="str">
        <f aca="false">IF('Deal Tracker'!H275="","","Target: "&amp;TEXT('Deal Tracker'!H275,"mmm yyyy"))</f>
        <v/>
      </c>
    </row>
    <row r="276" customFormat="false" ht="15" hidden="false" customHeight="false" outlineLevel="0" collapsed="false">
      <c r="A276" s="0" t="str">
        <f aca="false">IF('Deal Tracker'!C276="","",COUNTIF('Deal Tracker'!$C$2:C276,'Deal Tracker'!C276))</f>
        <v/>
      </c>
      <c r="B276" s="0" t="str">
        <f aca="false">IF(A276="","",'Deal Tracker'!C276&amp;"#"&amp;A276)</f>
        <v/>
      </c>
      <c r="C276" s="0" t="str">
        <f aca="false">IF('Deal Tracker'!B276="","",'Deal Tracker'!B276)</f>
        <v/>
      </c>
      <c r="D276" s="0" t="str">
        <f aca="false">IF('Deal Tracker'!B276="","",IF('Deal Tracker'!D276="","TBD","$"&amp;TEXT('Deal Tracker'!D276,"#,##0")&amp;"M"))</f>
        <v/>
      </c>
      <c r="E276" s="0" t="str">
        <f aca="false">IF('Deal Tracker'!B276="","",IF(AND(F276="",G276=""),"",F276&amp;IF(OR(F276="",G276=""),"","  ·  ")&amp;G276))</f>
        <v/>
      </c>
      <c r="F276" s="0" t="str">
        <f aca="false">IF('Deal Tracker'!F276="",IF('Deal Tracker'!G276="","",'Deal Tracker'!G276),'Deal Tracker'!F276&amp;IF('Deal Tracker'!G276="","",", "&amp;'Deal Tracker'!G276))</f>
        <v/>
      </c>
      <c r="G276" s="0" t="str">
        <f aca="false">IF('Deal Tracker'!H276="","","Target: "&amp;TEXT('Deal Tracker'!H276,"mmm yyyy"))</f>
        <v/>
      </c>
    </row>
    <row r="277" customFormat="false" ht="15" hidden="false" customHeight="false" outlineLevel="0" collapsed="false">
      <c r="A277" s="0" t="str">
        <f aca="false">IF('Deal Tracker'!C277="","",COUNTIF('Deal Tracker'!$C$2:C277,'Deal Tracker'!C277))</f>
        <v/>
      </c>
      <c r="B277" s="0" t="str">
        <f aca="false">IF(A277="","",'Deal Tracker'!C277&amp;"#"&amp;A277)</f>
        <v/>
      </c>
      <c r="C277" s="0" t="str">
        <f aca="false">IF('Deal Tracker'!B277="","",'Deal Tracker'!B277)</f>
        <v/>
      </c>
      <c r="D277" s="0" t="str">
        <f aca="false">IF('Deal Tracker'!B277="","",IF('Deal Tracker'!D277="","TBD","$"&amp;TEXT('Deal Tracker'!D277,"#,##0")&amp;"M"))</f>
        <v/>
      </c>
      <c r="E277" s="0" t="str">
        <f aca="false">IF('Deal Tracker'!B277="","",IF(AND(F277="",G277=""),"",F277&amp;IF(OR(F277="",G277=""),"","  ·  ")&amp;G277))</f>
        <v/>
      </c>
      <c r="F277" s="0" t="str">
        <f aca="false">IF('Deal Tracker'!F277="",IF('Deal Tracker'!G277="","",'Deal Tracker'!G277),'Deal Tracker'!F277&amp;IF('Deal Tracker'!G277="","",", "&amp;'Deal Tracker'!G277))</f>
        <v/>
      </c>
      <c r="G277" s="0" t="str">
        <f aca="false">IF('Deal Tracker'!H277="","","Target: "&amp;TEXT('Deal Tracker'!H277,"mmm yyyy"))</f>
        <v/>
      </c>
    </row>
    <row r="278" customFormat="false" ht="15" hidden="false" customHeight="false" outlineLevel="0" collapsed="false">
      <c r="A278" s="0" t="str">
        <f aca="false">IF('Deal Tracker'!C278="","",COUNTIF('Deal Tracker'!$C$2:C278,'Deal Tracker'!C278))</f>
        <v/>
      </c>
      <c r="B278" s="0" t="str">
        <f aca="false">IF(A278="","",'Deal Tracker'!C278&amp;"#"&amp;A278)</f>
        <v/>
      </c>
      <c r="C278" s="0" t="str">
        <f aca="false">IF('Deal Tracker'!B278="","",'Deal Tracker'!B278)</f>
        <v/>
      </c>
      <c r="D278" s="0" t="str">
        <f aca="false">IF('Deal Tracker'!B278="","",IF('Deal Tracker'!D278="","TBD","$"&amp;TEXT('Deal Tracker'!D278,"#,##0")&amp;"M"))</f>
        <v/>
      </c>
      <c r="E278" s="0" t="str">
        <f aca="false">IF('Deal Tracker'!B278="","",IF(AND(F278="",G278=""),"",F278&amp;IF(OR(F278="",G278=""),"","  ·  ")&amp;G278))</f>
        <v/>
      </c>
      <c r="F278" s="0" t="str">
        <f aca="false">IF('Deal Tracker'!F278="",IF('Deal Tracker'!G278="","",'Deal Tracker'!G278),'Deal Tracker'!F278&amp;IF('Deal Tracker'!G278="","",", "&amp;'Deal Tracker'!G278))</f>
        <v/>
      </c>
      <c r="G278" s="0" t="str">
        <f aca="false">IF('Deal Tracker'!H278="","","Target: "&amp;TEXT('Deal Tracker'!H278,"mmm yyyy"))</f>
        <v/>
      </c>
    </row>
    <row r="279" customFormat="false" ht="15" hidden="false" customHeight="false" outlineLevel="0" collapsed="false">
      <c r="A279" s="0" t="str">
        <f aca="false">IF('Deal Tracker'!C279="","",COUNTIF('Deal Tracker'!$C$2:C279,'Deal Tracker'!C279))</f>
        <v/>
      </c>
      <c r="B279" s="0" t="str">
        <f aca="false">IF(A279="","",'Deal Tracker'!C279&amp;"#"&amp;A279)</f>
        <v/>
      </c>
      <c r="C279" s="0" t="str">
        <f aca="false">IF('Deal Tracker'!B279="","",'Deal Tracker'!B279)</f>
        <v/>
      </c>
      <c r="D279" s="0" t="str">
        <f aca="false">IF('Deal Tracker'!B279="","",IF('Deal Tracker'!D279="","TBD","$"&amp;TEXT('Deal Tracker'!D279,"#,##0")&amp;"M"))</f>
        <v/>
      </c>
      <c r="E279" s="0" t="str">
        <f aca="false">IF('Deal Tracker'!B279="","",IF(AND(F279="",G279=""),"",F279&amp;IF(OR(F279="",G279=""),"","  ·  ")&amp;G279))</f>
        <v/>
      </c>
      <c r="F279" s="0" t="str">
        <f aca="false">IF('Deal Tracker'!F279="",IF('Deal Tracker'!G279="","",'Deal Tracker'!G279),'Deal Tracker'!F279&amp;IF('Deal Tracker'!G279="","",", "&amp;'Deal Tracker'!G279))</f>
        <v/>
      </c>
      <c r="G279" s="0" t="str">
        <f aca="false">IF('Deal Tracker'!H279="","","Target: "&amp;TEXT('Deal Tracker'!H279,"mmm yyyy"))</f>
        <v/>
      </c>
    </row>
    <row r="280" customFormat="false" ht="15" hidden="false" customHeight="false" outlineLevel="0" collapsed="false">
      <c r="A280" s="0" t="str">
        <f aca="false">IF('Deal Tracker'!C280="","",COUNTIF('Deal Tracker'!$C$2:C280,'Deal Tracker'!C280))</f>
        <v/>
      </c>
      <c r="B280" s="0" t="str">
        <f aca="false">IF(A280="","",'Deal Tracker'!C280&amp;"#"&amp;A280)</f>
        <v/>
      </c>
      <c r="C280" s="0" t="str">
        <f aca="false">IF('Deal Tracker'!B280="","",'Deal Tracker'!B280)</f>
        <v/>
      </c>
      <c r="D280" s="0" t="str">
        <f aca="false">IF('Deal Tracker'!B280="","",IF('Deal Tracker'!D280="","TBD","$"&amp;TEXT('Deal Tracker'!D280,"#,##0")&amp;"M"))</f>
        <v/>
      </c>
      <c r="E280" s="0" t="str">
        <f aca="false">IF('Deal Tracker'!B280="","",IF(AND(F280="",G280=""),"",F280&amp;IF(OR(F280="",G280=""),"","  ·  ")&amp;G280))</f>
        <v/>
      </c>
      <c r="F280" s="0" t="str">
        <f aca="false">IF('Deal Tracker'!F280="",IF('Deal Tracker'!G280="","",'Deal Tracker'!G280),'Deal Tracker'!F280&amp;IF('Deal Tracker'!G280="","",", "&amp;'Deal Tracker'!G280))</f>
        <v/>
      </c>
      <c r="G280" s="0" t="str">
        <f aca="false">IF('Deal Tracker'!H280="","","Target: "&amp;TEXT('Deal Tracker'!H280,"mmm yyyy"))</f>
        <v/>
      </c>
    </row>
    <row r="281" customFormat="false" ht="15" hidden="false" customHeight="false" outlineLevel="0" collapsed="false">
      <c r="A281" s="0" t="str">
        <f aca="false">IF('Deal Tracker'!C281="","",COUNTIF('Deal Tracker'!$C$2:C281,'Deal Tracker'!C281))</f>
        <v/>
      </c>
      <c r="B281" s="0" t="str">
        <f aca="false">IF(A281="","",'Deal Tracker'!C281&amp;"#"&amp;A281)</f>
        <v/>
      </c>
      <c r="C281" s="0" t="str">
        <f aca="false">IF('Deal Tracker'!B281="","",'Deal Tracker'!B281)</f>
        <v/>
      </c>
      <c r="D281" s="0" t="str">
        <f aca="false">IF('Deal Tracker'!B281="","",IF('Deal Tracker'!D281="","TBD","$"&amp;TEXT('Deal Tracker'!D281,"#,##0")&amp;"M"))</f>
        <v/>
      </c>
      <c r="E281" s="0" t="str">
        <f aca="false">IF('Deal Tracker'!B281="","",IF(AND(F281="",G281=""),"",F281&amp;IF(OR(F281="",G281=""),"","  ·  ")&amp;G281))</f>
        <v/>
      </c>
      <c r="F281" s="0" t="str">
        <f aca="false">IF('Deal Tracker'!F281="",IF('Deal Tracker'!G281="","",'Deal Tracker'!G281),'Deal Tracker'!F281&amp;IF('Deal Tracker'!G281="","",", "&amp;'Deal Tracker'!G281))</f>
        <v/>
      </c>
      <c r="G281" s="0" t="str">
        <f aca="false">IF('Deal Tracker'!H281="","","Target: "&amp;TEXT('Deal Tracker'!H281,"mmm yyyy"))</f>
        <v/>
      </c>
    </row>
    <row r="282" customFormat="false" ht="15" hidden="false" customHeight="false" outlineLevel="0" collapsed="false">
      <c r="A282" s="0" t="str">
        <f aca="false">IF('Deal Tracker'!C282="","",COUNTIF('Deal Tracker'!$C$2:C282,'Deal Tracker'!C282))</f>
        <v/>
      </c>
      <c r="B282" s="0" t="str">
        <f aca="false">IF(A282="","",'Deal Tracker'!C282&amp;"#"&amp;A282)</f>
        <v/>
      </c>
      <c r="C282" s="0" t="str">
        <f aca="false">IF('Deal Tracker'!B282="","",'Deal Tracker'!B282)</f>
        <v/>
      </c>
      <c r="D282" s="0" t="str">
        <f aca="false">IF('Deal Tracker'!B282="","",IF('Deal Tracker'!D282="","TBD","$"&amp;TEXT('Deal Tracker'!D282,"#,##0")&amp;"M"))</f>
        <v/>
      </c>
      <c r="E282" s="0" t="str">
        <f aca="false">IF('Deal Tracker'!B282="","",IF(AND(F282="",G282=""),"",F282&amp;IF(OR(F282="",G282=""),"","  ·  ")&amp;G282))</f>
        <v/>
      </c>
      <c r="F282" s="0" t="str">
        <f aca="false">IF('Deal Tracker'!F282="",IF('Deal Tracker'!G282="","",'Deal Tracker'!G282),'Deal Tracker'!F282&amp;IF('Deal Tracker'!G282="","",", "&amp;'Deal Tracker'!G282))</f>
        <v/>
      </c>
      <c r="G282" s="0" t="str">
        <f aca="false">IF('Deal Tracker'!H282="","","Target: "&amp;TEXT('Deal Tracker'!H282,"mmm yyyy"))</f>
        <v/>
      </c>
    </row>
    <row r="283" customFormat="false" ht="15" hidden="false" customHeight="false" outlineLevel="0" collapsed="false">
      <c r="A283" s="0" t="str">
        <f aca="false">IF('Deal Tracker'!C283="","",COUNTIF('Deal Tracker'!$C$2:C283,'Deal Tracker'!C283))</f>
        <v/>
      </c>
      <c r="B283" s="0" t="str">
        <f aca="false">IF(A283="","",'Deal Tracker'!C283&amp;"#"&amp;A283)</f>
        <v/>
      </c>
      <c r="C283" s="0" t="str">
        <f aca="false">IF('Deal Tracker'!B283="","",'Deal Tracker'!B283)</f>
        <v/>
      </c>
      <c r="D283" s="0" t="str">
        <f aca="false">IF('Deal Tracker'!B283="","",IF('Deal Tracker'!D283="","TBD","$"&amp;TEXT('Deal Tracker'!D283,"#,##0")&amp;"M"))</f>
        <v/>
      </c>
      <c r="E283" s="0" t="str">
        <f aca="false">IF('Deal Tracker'!B283="","",IF(AND(F283="",G283=""),"",F283&amp;IF(OR(F283="",G283=""),"","  ·  ")&amp;G283))</f>
        <v/>
      </c>
      <c r="F283" s="0" t="str">
        <f aca="false">IF('Deal Tracker'!F283="",IF('Deal Tracker'!G283="","",'Deal Tracker'!G283),'Deal Tracker'!F283&amp;IF('Deal Tracker'!G283="","",", "&amp;'Deal Tracker'!G283))</f>
        <v/>
      </c>
      <c r="G283" s="0" t="str">
        <f aca="false">IF('Deal Tracker'!H283="","","Target: "&amp;TEXT('Deal Tracker'!H283,"mmm yyyy"))</f>
        <v/>
      </c>
    </row>
    <row r="284" customFormat="false" ht="15" hidden="false" customHeight="false" outlineLevel="0" collapsed="false">
      <c r="A284" s="0" t="str">
        <f aca="false">IF('Deal Tracker'!C284="","",COUNTIF('Deal Tracker'!$C$2:C284,'Deal Tracker'!C284))</f>
        <v/>
      </c>
      <c r="B284" s="0" t="str">
        <f aca="false">IF(A284="","",'Deal Tracker'!C284&amp;"#"&amp;A284)</f>
        <v/>
      </c>
      <c r="C284" s="0" t="str">
        <f aca="false">IF('Deal Tracker'!B284="","",'Deal Tracker'!B284)</f>
        <v/>
      </c>
      <c r="D284" s="0" t="str">
        <f aca="false">IF('Deal Tracker'!B284="","",IF('Deal Tracker'!D284="","TBD","$"&amp;TEXT('Deal Tracker'!D284,"#,##0")&amp;"M"))</f>
        <v/>
      </c>
      <c r="E284" s="0" t="str">
        <f aca="false">IF('Deal Tracker'!B284="","",IF(AND(F284="",G284=""),"",F284&amp;IF(OR(F284="",G284=""),"","  ·  ")&amp;G284))</f>
        <v/>
      </c>
      <c r="F284" s="0" t="str">
        <f aca="false">IF('Deal Tracker'!F284="",IF('Deal Tracker'!G284="","",'Deal Tracker'!G284),'Deal Tracker'!F284&amp;IF('Deal Tracker'!G284="","",", "&amp;'Deal Tracker'!G284))</f>
        <v/>
      </c>
      <c r="G284" s="0" t="str">
        <f aca="false">IF('Deal Tracker'!H284="","","Target: "&amp;TEXT('Deal Tracker'!H284,"mmm yyyy"))</f>
        <v/>
      </c>
    </row>
    <row r="285" customFormat="false" ht="15" hidden="false" customHeight="false" outlineLevel="0" collapsed="false">
      <c r="A285" s="0" t="str">
        <f aca="false">IF('Deal Tracker'!C285="","",COUNTIF('Deal Tracker'!$C$2:C285,'Deal Tracker'!C285))</f>
        <v/>
      </c>
      <c r="B285" s="0" t="str">
        <f aca="false">IF(A285="","",'Deal Tracker'!C285&amp;"#"&amp;A285)</f>
        <v/>
      </c>
      <c r="C285" s="0" t="str">
        <f aca="false">IF('Deal Tracker'!B285="","",'Deal Tracker'!B285)</f>
        <v/>
      </c>
      <c r="D285" s="0" t="str">
        <f aca="false">IF('Deal Tracker'!B285="","",IF('Deal Tracker'!D285="","TBD","$"&amp;TEXT('Deal Tracker'!D285,"#,##0")&amp;"M"))</f>
        <v/>
      </c>
      <c r="E285" s="0" t="str">
        <f aca="false">IF('Deal Tracker'!B285="","",IF(AND(F285="",G285=""),"",F285&amp;IF(OR(F285="",G285=""),"","  ·  ")&amp;G285))</f>
        <v/>
      </c>
      <c r="F285" s="0" t="str">
        <f aca="false">IF('Deal Tracker'!F285="",IF('Deal Tracker'!G285="","",'Deal Tracker'!G285),'Deal Tracker'!F285&amp;IF('Deal Tracker'!G285="","",", "&amp;'Deal Tracker'!G285))</f>
        <v/>
      </c>
      <c r="G285" s="0" t="str">
        <f aca="false">IF('Deal Tracker'!H285="","","Target: "&amp;TEXT('Deal Tracker'!H285,"mmm yyyy"))</f>
        <v/>
      </c>
    </row>
    <row r="286" customFormat="false" ht="15" hidden="false" customHeight="false" outlineLevel="0" collapsed="false">
      <c r="A286" s="0" t="str">
        <f aca="false">IF('Deal Tracker'!C286="","",COUNTIF('Deal Tracker'!$C$2:C286,'Deal Tracker'!C286))</f>
        <v/>
      </c>
      <c r="B286" s="0" t="str">
        <f aca="false">IF(A286="","",'Deal Tracker'!C286&amp;"#"&amp;A286)</f>
        <v/>
      </c>
      <c r="C286" s="0" t="str">
        <f aca="false">IF('Deal Tracker'!B286="","",'Deal Tracker'!B286)</f>
        <v/>
      </c>
      <c r="D286" s="0" t="str">
        <f aca="false">IF('Deal Tracker'!B286="","",IF('Deal Tracker'!D286="","TBD","$"&amp;TEXT('Deal Tracker'!D286,"#,##0")&amp;"M"))</f>
        <v/>
      </c>
      <c r="E286" s="0" t="str">
        <f aca="false">IF('Deal Tracker'!B286="","",IF(AND(F286="",G286=""),"",F286&amp;IF(OR(F286="",G286=""),"","  ·  ")&amp;G286))</f>
        <v/>
      </c>
      <c r="F286" s="0" t="str">
        <f aca="false">IF('Deal Tracker'!F286="",IF('Deal Tracker'!G286="","",'Deal Tracker'!G286),'Deal Tracker'!F286&amp;IF('Deal Tracker'!G286="","",", "&amp;'Deal Tracker'!G286))</f>
        <v/>
      </c>
      <c r="G286" s="0" t="str">
        <f aca="false">IF('Deal Tracker'!H286="","","Target: "&amp;TEXT('Deal Tracker'!H286,"mmm yyyy"))</f>
        <v/>
      </c>
    </row>
    <row r="287" customFormat="false" ht="15" hidden="false" customHeight="false" outlineLevel="0" collapsed="false">
      <c r="A287" s="0" t="str">
        <f aca="false">IF('Deal Tracker'!C287="","",COUNTIF('Deal Tracker'!$C$2:C287,'Deal Tracker'!C287))</f>
        <v/>
      </c>
      <c r="B287" s="0" t="str">
        <f aca="false">IF(A287="","",'Deal Tracker'!C287&amp;"#"&amp;A287)</f>
        <v/>
      </c>
      <c r="C287" s="0" t="str">
        <f aca="false">IF('Deal Tracker'!B287="","",'Deal Tracker'!B287)</f>
        <v/>
      </c>
      <c r="D287" s="0" t="str">
        <f aca="false">IF('Deal Tracker'!B287="","",IF('Deal Tracker'!D287="","TBD","$"&amp;TEXT('Deal Tracker'!D287,"#,##0")&amp;"M"))</f>
        <v/>
      </c>
      <c r="E287" s="0" t="str">
        <f aca="false">IF('Deal Tracker'!B287="","",IF(AND(F287="",G287=""),"",F287&amp;IF(OR(F287="",G287=""),"","  ·  ")&amp;G287))</f>
        <v/>
      </c>
      <c r="F287" s="0" t="str">
        <f aca="false">IF('Deal Tracker'!F287="",IF('Deal Tracker'!G287="","",'Deal Tracker'!G287),'Deal Tracker'!F287&amp;IF('Deal Tracker'!G287="","",", "&amp;'Deal Tracker'!G287))</f>
        <v/>
      </c>
      <c r="G287" s="0" t="str">
        <f aca="false">IF('Deal Tracker'!H287="","","Target: "&amp;TEXT('Deal Tracker'!H287,"mmm yyyy"))</f>
        <v/>
      </c>
    </row>
    <row r="288" customFormat="false" ht="15" hidden="false" customHeight="false" outlineLevel="0" collapsed="false">
      <c r="A288" s="0" t="str">
        <f aca="false">IF('Deal Tracker'!C288="","",COUNTIF('Deal Tracker'!$C$2:C288,'Deal Tracker'!C288))</f>
        <v/>
      </c>
      <c r="B288" s="0" t="str">
        <f aca="false">IF(A288="","",'Deal Tracker'!C288&amp;"#"&amp;A288)</f>
        <v/>
      </c>
      <c r="C288" s="0" t="str">
        <f aca="false">IF('Deal Tracker'!B288="","",'Deal Tracker'!B288)</f>
        <v/>
      </c>
      <c r="D288" s="0" t="str">
        <f aca="false">IF('Deal Tracker'!B288="","",IF('Deal Tracker'!D288="","TBD","$"&amp;TEXT('Deal Tracker'!D288,"#,##0")&amp;"M"))</f>
        <v/>
      </c>
      <c r="E288" s="0" t="str">
        <f aca="false">IF('Deal Tracker'!B288="","",IF(AND(F288="",G288=""),"",F288&amp;IF(OR(F288="",G288=""),"","  ·  ")&amp;G288))</f>
        <v/>
      </c>
      <c r="F288" s="0" t="str">
        <f aca="false">IF('Deal Tracker'!F288="",IF('Deal Tracker'!G288="","",'Deal Tracker'!G288),'Deal Tracker'!F288&amp;IF('Deal Tracker'!G288="","",", "&amp;'Deal Tracker'!G288))</f>
        <v/>
      </c>
      <c r="G288" s="0" t="str">
        <f aca="false">IF('Deal Tracker'!H288="","","Target: "&amp;TEXT('Deal Tracker'!H288,"mmm yyyy"))</f>
        <v/>
      </c>
    </row>
    <row r="289" customFormat="false" ht="15" hidden="false" customHeight="false" outlineLevel="0" collapsed="false">
      <c r="A289" s="0" t="str">
        <f aca="false">IF('Deal Tracker'!C289="","",COUNTIF('Deal Tracker'!$C$2:C289,'Deal Tracker'!C289))</f>
        <v/>
      </c>
      <c r="B289" s="0" t="str">
        <f aca="false">IF(A289="","",'Deal Tracker'!C289&amp;"#"&amp;A289)</f>
        <v/>
      </c>
      <c r="C289" s="0" t="str">
        <f aca="false">IF('Deal Tracker'!B289="","",'Deal Tracker'!B289)</f>
        <v/>
      </c>
      <c r="D289" s="0" t="str">
        <f aca="false">IF('Deal Tracker'!B289="","",IF('Deal Tracker'!D289="","TBD","$"&amp;TEXT('Deal Tracker'!D289,"#,##0")&amp;"M"))</f>
        <v/>
      </c>
      <c r="E289" s="0" t="str">
        <f aca="false">IF('Deal Tracker'!B289="","",IF(AND(F289="",G289=""),"",F289&amp;IF(OR(F289="",G289=""),"","  ·  ")&amp;G289))</f>
        <v/>
      </c>
      <c r="F289" s="0" t="str">
        <f aca="false">IF('Deal Tracker'!F289="",IF('Deal Tracker'!G289="","",'Deal Tracker'!G289),'Deal Tracker'!F289&amp;IF('Deal Tracker'!G289="","",", "&amp;'Deal Tracker'!G289))</f>
        <v/>
      </c>
      <c r="G289" s="0" t="str">
        <f aca="false">IF('Deal Tracker'!H289="","","Target: "&amp;TEXT('Deal Tracker'!H289,"mmm yyyy"))</f>
        <v/>
      </c>
    </row>
    <row r="290" customFormat="false" ht="15" hidden="false" customHeight="false" outlineLevel="0" collapsed="false">
      <c r="A290" s="0" t="str">
        <f aca="false">IF('Deal Tracker'!C290="","",COUNTIF('Deal Tracker'!$C$2:C290,'Deal Tracker'!C290))</f>
        <v/>
      </c>
      <c r="B290" s="0" t="str">
        <f aca="false">IF(A290="","",'Deal Tracker'!C290&amp;"#"&amp;A290)</f>
        <v/>
      </c>
      <c r="C290" s="0" t="str">
        <f aca="false">IF('Deal Tracker'!B290="","",'Deal Tracker'!B290)</f>
        <v/>
      </c>
      <c r="D290" s="0" t="str">
        <f aca="false">IF('Deal Tracker'!B290="","",IF('Deal Tracker'!D290="","TBD","$"&amp;TEXT('Deal Tracker'!D290,"#,##0")&amp;"M"))</f>
        <v/>
      </c>
      <c r="E290" s="0" t="str">
        <f aca="false">IF('Deal Tracker'!B290="","",IF(AND(F290="",G290=""),"",F290&amp;IF(OR(F290="",G290=""),"","  ·  ")&amp;G290))</f>
        <v/>
      </c>
      <c r="F290" s="0" t="str">
        <f aca="false">IF('Deal Tracker'!F290="",IF('Deal Tracker'!G290="","",'Deal Tracker'!G290),'Deal Tracker'!F290&amp;IF('Deal Tracker'!G290="","",", "&amp;'Deal Tracker'!G290))</f>
        <v/>
      </c>
      <c r="G290" s="0" t="str">
        <f aca="false">IF('Deal Tracker'!H290="","","Target: "&amp;TEXT('Deal Tracker'!H290,"mmm yyyy"))</f>
        <v/>
      </c>
    </row>
    <row r="291" customFormat="false" ht="15" hidden="false" customHeight="false" outlineLevel="0" collapsed="false">
      <c r="A291" s="0" t="str">
        <f aca="false">IF('Deal Tracker'!C291="","",COUNTIF('Deal Tracker'!$C$2:C291,'Deal Tracker'!C291))</f>
        <v/>
      </c>
      <c r="B291" s="0" t="str">
        <f aca="false">IF(A291="","",'Deal Tracker'!C291&amp;"#"&amp;A291)</f>
        <v/>
      </c>
      <c r="C291" s="0" t="str">
        <f aca="false">IF('Deal Tracker'!B291="","",'Deal Tracker'!B291)</f>
        <v/>
      </c>
      <c r="D291" s="0" t="str">
        <f aca="false">IF('Deal Tracker'!B291="","",IF('Deal Tracker'!D291="","TBD","$"&amp;TEXT('Deal Tracker'!D291,"#,##0")&amp;"M"))</f>
        <v/>
      </c>
      <c r="E291" s="0" t="str">
        <f aca="false">IF('Deal Tracker'!B291="","",IF(AND(F291="",G291=""),"",F291&amp;IF(OR(F291="",G291=""),"","  ·  ")&amp;G291))</f>
        <v/>
      </c>
      <c r="F291" s="0" t="str">
        <f aca="false">IF('Deal Tracker'!F291="",IF('Deal Tracker'!G291="","",'Deal Tracker'!G291),'Deal Tracker'!F291&amp;IF('Deal Tracker'!G291="","",", "&amp;'Deal Tracker'!G291))</f>
        <v/>
      </c>
      <c r="G291" s="0" t="str">
        <f aca="false">IF('Deal Tracker'!H291="","","Target: "&amp;TEXT('Deal Tracker'!H291,"mmm yyyy"))</f>
        <v/>
      </c>
    </row>
    <row r="292" customFormat="false" ht="15" hidden="false" customHeight="false" outlineLevel="0" collapsed="false">
      <c r="A292" s="0" t="str">
        <f aca="false">IF('Deal Tracker'!C292="","",COUNTIF('Deal Tracker'!$C$2:C292,'Deal Tracker'!C292))</f>
        <v/>
      </c>
      <c r="B292" s="0" t="str">
        <f aca="false">IF(A292="","",'Deal Tracker'!C292&amp;"#"&amp;A292)</f>
        <v/>
      </c>
      <c r="C292" s="0" t="str">
        <f aca="false">IF('Deal Tracker'!B292="","",'Deal Tracker'!B292)</f>
        <v/>
      </c>
      <c r="D292" s="0" t="str">
        <f aca="false">IF('Deal Tracker'!B292="","",IF('Deal Tracker'!D292="","TBD","$"&amp;TEXT('Deal Tracker'!D292,"#,##0")&amp;"M"))</f>
        <v/>
      </c>
      <c r="E292" s="0" t="str">
        <f aca="false">IF('Deal Tracker'!B292="","",IF(AND(F292="",G292=""),"",F292&amp;IF(OR(F292="",G292=""),"","  ·  ")&amp;G292))</f>
        <v/>
      </c>
      <c r="F292" s="0" t="str">
        <f aca="false">IF('Deal Tracker'!F292="",IF('Deal Tracker'!G292="","",'Deal Tracker'!G292),'Deal Tracker'!F292&amp;IF('Deal Tracker'!G292="","",", "&amp;'Deal Tracker'!G292))</f>
        <v/>
      </c>
      <c r="G292" s="0" t="str">
        <f aca="false">IF('Deal Tracker'!H292="","","Target: "&amp;TEXT('Deal Tracker'!H292,"mmm yyyy"))</f>
        <v/>
      </c>
    </row>
    <row r="293" customFormat="false" ht="15" hidden="false" customHeight="false" outlineLevel="0" collapsed="false">
      <c r="A293" s="0" t="str">
        <f aca="false">IF('Deal Tracker'!C293="","",COUNTIF('Deal Tracker'!$C$2:C293,'Deal Tracker'!C293))</f>
        <v/>
      </c>
      <c r="B293" s="0" t="str">
        <f aca="false">IF(A293="","",'Deal Tracker'!C293&amp;"#"&amp;A293)</f>
        <v/>
      </c>
      <c r="C293" s="0" t="str">
        <f aca="false">IF('Deal Tracker'!B293="","",'Deal Tracker'!B293)</f>
        <v/>
      </c>
      <c r="D293" s="0" t="str">
        <f aca="false">IF('Deal Tracker'!B293="","",IF('Deal Tracker'!D293="","TBD","$"&amp;TEXT('Deal Tracker'!D293,"#,##0")&amp;"M"))</f>
        <v/>
      </c>
      <c r="E293" s="0" t="str">
        <f aca="false">IF('Deal Tracker'!B293="","",IF(AND(F293="",G293=""),"",F293&amp;IF(OR(F293="",G293=""),"","  ·  ")&amp;G293))</f>
        <v/>
      </c>
      <c r="F293" s="0" t="str">
        <f aca="false">IF('Deal Tracker'!F293="",IF('Deal Tracker'!G293="","",'Deal Tracker'!G293),'Deal Tracker'!F293&amp;IF('Deal Tracker'!G293="","",", "&amp;'Deal Tracker'!G293))</f>
        <v/>
      </c>
      <c r="G293" s="0" t="str">
        <f aca="false">IF('Deal Tracker'!H293="","","Target: "&amp;TEXT('Deal Tracker'!H293,"mmm yyyy"))</f>
        <v/>
      </c>
    </row>
    <row r="294" customFormat="false" ht="15" hidden="false" customHeight="false" outlineLevel="0" collapsed="false">
      <c r="A294" s="0" t="str">
        <f aca="false">IF('Deal Tracker'!C294="","",COUNTIF('Deal Tracker'!$C$2:C294,'Deal Tracker'!C294))</f>
        <v/>
      </c>
      <c r="B294" s="0" t="str">
        <f aca="false">IF(A294="","",'Deal Tracker'!C294&amp;"#"&amp;A294)</f>
        <v/>
      </c>
      <c r="C294" s="0" t="str">
        <f aca="false">IF('Deal Tracker'!B294="","",'Deal Tracker'!B294)</f>
        <v/>
      </c>
      <c r="D294" s="0" t="str">
        <f aca="false">IF('Deal Tracker'!B294="","",IF('Deal Tracker'!D294="","TBD","$"&amp;TEXT('Deal Tracker'!D294,"#,##0")&amp;"M"))</f>
        <v/>
      </c>
      <c r="E294" s="0" t="str">
        <f aca="false">IF('Deal Tracker'!B294="","",IF(AND(F294="",G294=""),"",F294&amp;IF(OR(F294="",G294=""),"","  ·  ")&amp;G294))</f>
        <v/>
      </c>
      <c r="F294" s="0" t="str">
        <f aca="false">IF('Deal Tracker'!F294="",IF('Deal Tracker'!G294="","",'Deal Tracker'!G294),'Deal Tracker'!F294&amp;IF('Deal Tracker'!G294="","",", "&amp;'Deal Tracker'!G294))</f>
        <v/>
      </c>
      <c r="G294" s="0" t="str">
        <f aca="false">IF('Deal Tracker'!H294="","","Target: "&amp;TEXT('Deal Tracker'!H294,"mmm yyyy"))</f>
        <v/>
      </c>
    </row>
    <row r="295" customFormat="false" ht="15" hidden="false" customHeight="false" outlineLevel="0" collapsed="false">
      <c r="A295" s="0" t="str">
        <f aca="false">IF('Deal Tracker'!C295="","",COUNTIF('Deal Tracker'!$C$2:C295,'Deal Tracker'!C295))</f>
        <v/>
      </c>
      <c r="B295" s="0" t="str">
        <f aca="false">IF(A295="","",'Deal Tracker'!C295&amp;"#"&amp;A295)</f>
        <v/>
      </c>
      <c r="C295" s="0" t="str">
        <f aca="false">IF('Deal Tracker'!B295="","",'Deal Tracker'!B295)</f>
        <v/>
      </c>
      <c r="D295" s="0" t="str">
        <f aca="false">IF('Deal Tracker'!B295="","",IF('Deal Tracker'!D295="","TBD","$"&amp;TEXT('Deal Tracker'!D295,"#,##0")&amp;"M"))</f>
        <v/>
      </c>
      <c r="E295" s="0" t="str">
        <f aca="false">IF('Deal Tracker'!B295="","",IF(AND(F295="",G295=""),"",F295&amp;IF(OR(F295="",G295=""),"","  ·  ")&amp;G295))</f>
        <v/>
      </c>
      <c r="F295" s="0" t="str">
        <f aca="false">IF('Deal Tracker'!F295="",IF('Deal Tracker'!G295="","",'Deal Tracker'!G295),'Deal Tracker'!F295&amp;IF('Deal Tracker'!G295="","",", "&amp;'Deal Tracker'!G295))</f>
        <v/>
      </c>
      <c r="G295" s="0" t="str">
        <f aca="false">IF('Deal Tracker'!H295="","","Target: "&amp;TEXT('Deal Tracker'!H295,"mmm yyyy"))</f>
        <v/>
      </c>
    </row>
    <row r="296" customFormat="false" ht="15" hidden="false" customHeight="false" outlineLevel="0" collapsed="false">
      <c r="A296" s="0" t="str">
        <f aca="false">IF('Deal Tracker'!C296="","",COUNTIF('Deal Tracker'!$C$2:C296,'Deal Tracker'!C296))</f>
        <v/>
      </c>
      <c r="B296" s="0" t="str">
        <f aca="false">IF(A296="","",'Deal Tracker'!C296&amp;"#"&amp;A296)</f>
        <v/>
      </c>
      <c r="C296" s="0" t="str">
        <f aca="false">IF('Deal Tracker'!B296="","",'Deal Tracker'!B296)</f>
        <v/>
      </c>
      <c r="D296" s="0" t="str">
        <f aca="false">IF('Deal Tracker'!B296="","",IF('Deal Tracker'!D296="","TBD","$"&amp;TEXT('Deal Tracker'!D296,"#,##0")&amp;"M"))</f>
        <v/>
      </c>
      <c r="E296" s="0" t="str">
        <f aca="false">IF('Deal Tracker'!B296="","",IF(AND(F296="",G296=""),"",F296&amp;IF(OR(F296="",G296=""),"","  ·  ")&amp;G296))</f>
        <v/>
      </c>
      <c r="F296" s="0" t="str">
        <f aca="false">IF('Deal Tracker'!F296="",IF('Deal Tracker'!G296="","",'Deal Tracker'!G296),'Deal Tracker'!F296&amp;IF('Deal Tracker'!G296="","",", "&amp;'Deal Tracker'!G296))</f>
        <v/>
      </c>
      <c r="G296" s="0" t="str">
        <f aca="false">IF('Deal Tracker'!H296="","","Target: "&amp;TEXT('Deal Tracker'!H296,"mmm yyyy"))</f>
        <v/>
      </c>
    </row>
    <row r="297" customFormat="false" ht="15" hidden="false" customHeight="false" outlineLevel="0" collapsed="false">
      <c r="A297" s="0" t="str">
        <f aca="false">IF('Deal Tracker'!C297="","",COUNTIF('Deal Tracker'!$C$2:C297,'Deal Tracker'!C297))</f>
        <v/>
      </c>
      <c r="B297" s="0" t="str">
        <f aca="false">IF(A297="","",'Deal Tracker'!C297&amp;"#"&amp;A297)</f>
        <v/>
      </c>
      <c r="C297" s="0" t="str">
        <f aca="false">IF('Deal Tracker'!B297="","",'Deal Tracker'!B297)</f>
        <v/>
      </c>
      <c r="D297" s="0" t="str">
        <f aca="false">IF('Deal Tracker'!B297="","",IF('Deal Tracker'!D297="","TBD","$"&amp;TEXT('Deal Tracker'!D297,"#,##0")&amp;"M"))</f>
        <v/>
      </c>
      <c r="E297" s="0" t="str">
        <f aca="false">IF('Deal Tracker'!B297="","",IF(AND(F297="",G297=""),"",F297&amp;IF(OR(F297="",G297=""),"","  ·  ")&amp;G297))</f>
        <v/>
      </c>
      <c r="F297" s="0" t="str">
        <f aca="false">IF('Deal Tracker'!F297="",IF('Deal Tracker'!G297="","",'Deal Tracker'!G297),'Deal Tracker'!F297&amp;IF('Deal Tracker'!G297="","",", "&amp;'Deal Tracker'!G297))</f>
        <v/>
      </c>
      <c r="G297" s="0" t="str">
        <f aca="false">IF('Deal Tracker'!H297="","","Target: "&amp;TEXT('Deal Tracker'!H297,"mmm yyyy"))</f>
        <v/>
      </c>
    </row>
    <row r="298" customFormat="false" ht="15" hidden="false" customHeight="false" outlineLevel="0" collapsed="false">
      <c r="A298" s="0" t="str">
        <f aca="false">IF('Deal Tracker'!C298="","",COUNTIF('Deal Tracker'!$C$2:C298,'Deal Tracker'!C298))</f>
        <v/>
      </c>
      <c r="B298" s="0" t="str">
        <f aca="false">IF(A298="","",'Deal Tracker'!C298&amp;"#"&amp;A298)</f>
        <v/>
      </c>
      <c r="C298" s="0" t="str">
        <f aca="false">IF('Deal Tracker'!B298="","",'Deal Tracker'!B298)</f>
        <v/>
      </c>
      <c r="D298" s="0" t="str">
        <f aca="false">IF('Deal Tracker'!B298="","",IF('Deal Tracker'!D298="","TBD","$"&amp;TEXT('Deal Tracker'!D298,"#,##0")&amp;"M"))</f>
        <v/>
      </c>
      <c r="E298" s="0" t="str">
        <f aca="false">IF('Deal Tracker'!B298="","",IF(AND(F298="",G298=""),"",F298&amp;IF(OR(F298="",G298=""),"","  ·  ")&amp;G298))</f>
        <v/>
      </c>
      <c r="F298" s="0" t="str">
        <f aca="false">IF('Deal Tracker'!F298="",IF('Deal Tracker'!G298="","",'Deal Tracker'!G298),'Deal Tracker'!F298&amp;IF('Deal Tracker'!G298="","",", "&amp;'Deal Tracker'!G298))</f>
        <v/>
      </c>
      <c r="G298" s="0" t="str">
        <f aca="false">IF('Deal Tracker'!H298="","","Target: "&amp;TEXT('Deal Tracker'!H298,"mmm yyyy"))</f>
        <v/>
      </c>
    </row>
    <row r="299" customFormat="false" ht="15" hidden="false" customHeight="false" outlineLevel="0" collapsed="false">
      <c r="A299" s="0" t="str">
        <f aca="false">IF('Deal Tracker'!C299="","",COUNTIF('Deal Tracker'!$C$2:C299,'Deal Tracker'!C299))</f>
        <v/>
      </c>
      <c r="B299" s="0" t="str">
        <f aca="false">IF(A299="","",'Deal Tracker'!C299&amp;"#"&amp;A299)</f>
        <v/>
      </c>
      <c r="C299" s="0" t="str">
        <f aca="false">IF('Deal Tracker'!B299="","",'Deal Tracker'!B299)</f>
        <v/>
      </c>
      <c r="D299" s="0" t="str">
        <f aca="false">IF('Deal Tracker'!B299="","",IF('Deal Tracker'!D299="","TBD","$"&amp;TEXT('Deal Tracker'!D299,"#,##0")&amp;"M"))</f>
        <v/>
      </c>
      <c r="E299" s="0" t="str">
        <f aca="false">IF('Deal Tracker'!B299="","",IF(AND(F299="",G299=""),"",F299&amp;IF(OR(F299="",G299=""),"","  ·  ")&amp;G299))</f>
        <v/>
      </c>
      <c r="F299" s="0" t="str">
        <f aca="false">IF('Deal Tracker'!F299="",IF('Deal Tracker'!G299="","",'Deal Tracker'!G299),'Deal Tracker'!F299&amp;IF('Deal Tracker'!G299="","",", "&amp;'Deal Tracker'!G299))</f>
        <v/>
      </c>
      <c r="G299" s="0" t="str">
        <f aca="false">IF('Deal Tracker'!H299="","","Target: "&amp;TEXT('Deal Tracker'!H299,"mmm yyyy"))</f>
        <v/>
      </c>
    </row>
    <row r="300" customFormat="false" ht="15" hidden="false" customHeight="false" outlineLevel="0" collapsed="false">
      <c r="A300" s="0" t="str">
        <f aca="false">IF('Deal Tracker'!C300="","",COUNTIF('Deal Tracker'!$C$2:C300,'Deal Tracker'!C300))</f>
        <v/>
      </c>
      <c r="B300" s="0" t="str">
        <f aca="false">IF(A300="","",'Deal Tracker'!C300&amp;"#"&amp;A300)</f>
        <v/>
      </c>
      <c r="C300" s="0" t="str">
        <f aca="false">IF('Deal Tracker'!B300="","",'Deal Tracker'!B300)</f>
        <v/>
      </c>
      <c r="D300" s="0" t="str">
        <f aca="false">IF('Deal Tracker'!B300="","",IF('Deal Tracker'!D300="","TBD","$"&amp;TEXT('Deal Tracker'!D300,"#,##0")&amp;"M"))</f>
        <v/>
      </c>
      <c r="E300" s="0" t="str">
        <f aca="false">IF('Deal Tracker'!B300="","",IF(AND(F300="",G300=""),"",F300&amp;IF(OR(F300="",G300=""),"","  ·  ")&amp;G300))</f>
        <v/>
      </c>
      <c r="F300" s="0" t="str">
        <f aca="false">IF('Deal Tracker'!F300="",IF('Deal Tracker'!G300="","",'Deal Tracker'!G300),'Deal Tracker'!F300&amp;IF('Deal Tracker'!G300="","",", "&amp;'Deal Tracker'!G300))</f>
        <v/>
      </c>
      <c r="G300" s="0" t="str">
        <f aca="false">IF('Deal Tracker'!H300="","","Target: "&amp;TEXT('Deal Tracker'!H300,"mmm yyyy"))</f>
        <v/>
      </c>
    </row>
    <row r="301" customFormat="false" ht="15" hidden="false" customHeight="false" outlineLevel="0" collapsed="false">
      <c r="A301" s="0" t="str">
        <f aca="false">IF('Deal Tracker'!C301="","",COUNTIF('Deal Tracker'!$C$2:C301,'Deal Tracker'!C301))</f>
        <v/>
      </c>
      <c r="B301" s="0" t="str">
        <f aca="false">IF(A301="","",'Deal Tracker'!C301&amp;"#"&amp;A301)</f>
        <v/>
      </c>
      <c r="C301" s="0" t="str">
        <f aca="false">IF('Deal Tracker'!B301="","",'Deal Tracker'!B301)</f>
        <v/>
      </c>
      <c r="D301" s="0" t="str">
        <f aca="false">IF('Deal Tracker'!B301="","",IF('Deal Tracker'!D301="","TBD","$"&amp;TEXT('Deal Tracker'!D301,"#,##0")&amp;"M"))</f>
        <v/>
      </c>
      <c r="E301" s="0" t="str">
        <f aca="false">IF('Deal Tracker'!B301="","",IF(AND(F301="",G301=""),"",F301&amp;IF(OR(F301="",G301=""),"","  ·  ")&amp;G301))</f>
        <v/>
      </c>
      <c r="F301" s="0" t="str">
        <f aca="false">IF('Deal Tracker'!F301="",IF('Deal Tracker'!G301="","",'Deal Tracker'!G301),'Deal Tracker'!F301&amp;IF('Deal Tracker'!G301="","",", "&amp;'Deal Tracker'!G301))</f>
        <v/>
      </c>
      <c r="G301" s="0" t="str">
        <f aca="false">IF('Deal Tracker'!H301="","","Target: "&amp;TEXT('Deal Tracker'!H301,"mmm yyyy"))</f>
        <v/>
      </c>
    </row>
    <row r="302" customFormat="false" ht="15" hidden="false" customHeight="false" outlineLevel="0" collapsed="false">
      <c r="A302" s="0" t="str">
        <f aca="false">IF('Deal Tracker'!C302="","",COUNTIF('Deal Tracker'!$C$2:C302,'Deal Tracker'!C302))</f>
        <v/>
      </c>
      <c r="B302" s="0" t="str">
        <f aca="false">IF(A302="","",'Deal Tracker'!C302&amp;"#"&amp;A302)</f>
        <v/>
      </c>
      <c r="C302" s="0" t="str">
        <f aca="false">IF('Deal Tracker'!B302="","",'Deal Tracker'!B302)</f>
        <v/>
      </c>
      <c r="D302" s="0" t="str">
        <f aca="false">IF('Deal Tracker'!B302="","",IF('Deal Tracker'!D302="","TBD","$"&amp;TEXT('Deal Tracker'!D302,"#,##0")&amp;"M"))</f>
        <v/>
      </c>
      <c r="E302" s="0" t="str">
        <f aca="false">IF('Deal Tracker'!B302="","",IF(AND(F302="",G302=""),"",F302&amp;IF(OR(F302="",G302=""),"","  ·  ")&amp;G302))</f>
        <v/>
      </c>
      <c r="F302" s="0" t="str">
        <f aca="false">IF('Deal Tracker'!F302="",IF('Deal Tracker'!G302="","",'Deal Tracker'!G302),'Deal Tracker'!F302&amp;IF('Deal Tracker'!G302="","",", "&amp;'Deal Tracker'!G302))</f>
        <v/>
      </c>
      <c r="G302" s="0" t="str">
        <f aca="false">IF('Deal Tracker'!H302="","","Target: "&amp;TEXT('Deal Tracker'!H302,"mmm yyyy"))</f>
        <v/>
      </c>
    </row>
    <row r="303" customFormat="false" ht="15" hidden="false" customHeight="false" outlineLevel="0" collapsed="false">
      <c r="A303" s="0" t="str">
        <f aca="false">IF('Deal Tracker'!C303="","",COUNTIF('Deal Tracker'!$C$2:C303,'Deal Tracker'!C303))</f>
        <v/>
      </c>
      <c r="B303" s="0" t="str">
        <f aca="false">IF(A303="","",'Deal Tracker'!C303&amp;"#"&amp;A303)</f>
        <v/>
      </c>
      <c r="C303" s="0" t="str">
        <f aca="false">IF('Deal Tracker'!B303="","",'Deal Tracker'!B303)</f>
        <v/>
      </c>
      <c r="D303" s="0" t="str">
        <f aca="false">IF('Deal Tracker'!B303="","",IF('Deal Tracker'!D303="","TBD","$"&amp;TEXT('Deal Tracker'!D303,"#,##0")&amp;"M"))</f>
        <v/>
      </c>
      <c r="E303" s="0" t="str">
        <f aca="false">IF('Deal Tracker'!B303="","",IF(AND(F303="",G303=""),"",F303&amp;IF(OR(F303="",G303=""),"","  ·  ")&amp;G303))</f>
        <v/>
      </c>
      <c r="F303" s="0" t="str">
        <f aca="false">IF('Deal Tracker'!F303="",IF('Deal Tracker'!G303="","",'Deal Tracker'!G303),'Deal Tracker'!F303&amp;IF('Deal Tracker'!G303="","",", "&amp;'Deal Tracker'!G303))</f>
        <v/>
      </c>
      <c r="G303" s="0" t="str">
        <f aca="false">IF('Deal Tracker'!H303="","","Target: "&amp;TEXT('Deal Tracker'!H303,"mmm yyyy"))</f>
        <v/>
      </c>
    </row>
    <row r="304" customFormat="false" ht="15" hidden="false" customHeight="false" outlineLevel="0" collapsed="false">
      <c r="A304" s="0" t="str">
        <f aca="false">IF('Deal Tracker'!C304="","",COUNTIF('Deal Tracker'!$C$2:C304,'Deal Tracker'!C304))</f>
        <v/>
      </c>
      <c r="B304" s="0" t="str">
        <f aca="false">IF(A304="","",'Deal Tracker'!C304&amp;"#"&amp;A304)</f>
        <v/>
      </c>
      <c r="C304" s="0" t="str">
        <f aca="false">IF('Deal Tracker'!B304="","",'Deal Tracker'!B304)</f>
        <v/>
      </c>
      <c r="D304" s="0" t="str">
        <f aca="false">IF('Deal Tracker'!B304="","",IF('Deal Tracker'!D304="","TBD","$"&amp;TEXT('Deal Tracker'!D304,"#,##0")&amp;"M"))</f>
        <v/>
      </c>
      <c r="E304" s="0" t="str">
        <f aca="false">IF('Deal Tracker'!B304="","",IF(AND(F304="",G304=""),"",F304&amp;IF(OR(F304="",G304=""),"","  ·  ")&amp;G304))</f>
        <v/>
      </c>
      <c r="F304" s="0" t="str">
        <f aca="false">IF('Deal Tracker'!F304="",IF('Deal Tracker'!G304="","",'Deal Tracker'!G304),'Deal Tracker'!F304&amp;IF('Deal Tracker'!G304="","",", "&amp;'Deal Tracker'!G304))</f>
        <v/>
      </c>
      <c r="G304" s="0" t="str">
        <f aca="false">IF('Deal Tracker'!H304="","","Target: "&amp;TEXT('Deal Tracker'!H304,"mmm yyyy"))</f>
        <v/>
      </c>
    </row>
    <row r="305" customFormat="false" ht="15" hidden="false" customHeight="false" outlineLevel="0" collapsed="false">
      <c r="A305" s="0" t="str">
        <f aca="false">IF('Deal Tracker'!C305="","",COUNTIF('Deal Tracker'!$C$2:C305,'Deal Tracker'!C305))</f>
        <v/>
      </c>
      <c r="B305" s="0" t="str">
        <f aca="false">IF(A305="","",'Deal Tracker'!C305&amp;"#"&amp;A305)</f>
        <v/>
      </c>
      <c r="C305" s="0" t="str">
        <f aca="false">IF('Deal Tracker'!B305="","",'Deal Tracker'!B305)</f>
        <v/>
      </c>
      <c r="D305" s="0" t="str">
        <f aca="false">IF('Deal Tracker'!B305="","",IF('Deal Tracker'!D305="","TBD","$"&amp;TEXT('Deal Tracker'!D305,"#,##0")&amp;"M"))</f>
        <v/>
      </c>
      <c r="E305" s="0" t="str">
        <f aca="false">IF('Deal Tracker'!B305="","",IF(AND(F305="",G305=""),"",F305&amp;IF(OR(F305="",G305=""),"","  ·  ")&amp;G305))</f>
        <v/>
      </c>
      <c r="F305" s="0" t="str">
        <f aca="false">IF('Deal Tracker'!F305="",IF('Deal Tracker'!G305="","",'Deal Tracker'!G305),'Deal Tracker'!F305&amp;IF('Deal Tracker'!G305="","",", "&amp;'Deal Tracker'!G305))</f>
        <v/>
      </c>
      <c r="G305" s="0" t="str">
        <f aca="false">IF('Deal Tracker'!H305="","","Target: "&amp;TEXT('Deal Tracker'!H305,"mmm yyyy"))</f>
        <v/>
      </c>
    </row>
    <row r="306" customFormat="false" ht="15" hidden="false" customHeight="false" outlineLevel="0" collapsed="false">
      <c r="A306" s="0" t="str">
        <f aca="false">IF('Deal Tracker'!C306="","",COUNTIF('Deal Tracker'!$C$2:C306,'Deal Tracker'!C306))</f>
        <v/>
      </c>
      <c r="B306" s="0" t="str">
        <f aca="false">IF(A306="","",'Deal Tracker'!C306&amp;"#"&amp;A306)</f>
        <v/>
      </c>
      <c r="C306" s="0" t="str">
        <f aca="false">IF('Deal Tracker'!B306="","",'Deal Tracker'!B306)</f>
        <v/>
      </c>
      <c r="D306" s="0" t="str">
        <f aca="false">IF('Deal Tracker'!B306="","",IF('Deal Tracker'!D306="","TBD","$"&amp;TEXT('Deal Tracker'!D306,"#,##0")&amp;"M"))</f>
        <v/>
      </c>
      <c r="E306" s="0" t="str">
        <f aca="false">IF('Deal Tracker'!B306="","",IF(AND(F306="",G306=""),"",F306&amp;IF(OR(F306="",G306=""),"","  ·  ")&amp;G306))</f>
        <v/>
      </c>
      <c r="F306" s="0" t="str">
        <f aca="false">IF('Deal Tracker'!F306="",IF('Deal Tracker'!G306="","",'Deal Tracker'!G306),'Deal Tracker'!F306&amp;IF('Deal Tracker'!G306="","",", "&amp;'Deal Tracker'!G306))</f>
        <v/>
      </c>
      <c r="G306" s="0" t="str">
        <f aca="false">IF('Deal Tracker'!H306="","","Target: "&amp;TEXT('Deal Tracker'!H306,"mmm yyyy"))</f>
        <v/>
      </c>
    </row>
    <row r="307" customFormat="false" ht="15" hidden="false" customHeight="false" outlineLevel="0" collapsed="false">
      <c r="A307" s="0" t="str">
        <f aca="false">IF('Deal Tracker'!C307="","",COUNTIF('Deal Tracker'!$C$2:C307,'Deal Tracker'!C307))</f>
        <v/>
      </c>
      <c r="B307" s="0" t="str">
        <f aca="false">IF(A307="","",'Deal Tracker'!C307&amp;"#"&amp;A307)</f>
        <v/>
      </c>
      <c r="C307" s="0" t="str">
        <f aca="false">IF('Deal Tracker'!B307="","",'Deal Tracker'!B307)</f>
        <v/>
      </c>
      <c r="D307" s="0" t="str">
        <f aca="false">IF('Deal Tracker'!B307="","",IF('Deal Tracker'!D307="","TBD","$"&amp;TEXT('Deal Tracker'!D307,"#,##0")&amp;"M"))</f>
        <v/>
      </c>
      <c r="E307" s="0" t="str">
        <f aca="false">IF('Deal Tracker'!B307="","",IF(AND(F307="",G307=""),"",F307&amp;IF(OR(F307="",G307=""),"","  ·  ")&amp;G307))</f>
        <v/>
      </c>
      <c r="F307" s="0" t="str">
        <f aca="false">IF('Deal Tracker'!F307="",IF('Deal Tracker'!G307="","",'Deal Tracker'!G307),'Deal Tracker'!F307&amp;IF('Deal Tracker'!G307="","",", "&amp;'Deal Tracker'!G307))</f>
        <v/>
      </c>
      <c r="G307" s="0" t="str">
        <f aca="false">IF('Deal Tracker'!H307="","","Target: "&amp;TEXT('Deal Tracker'!H307,"mmm yyyy"))</f>
        <v/>
      </c>
    </row>
    <row r="308" customFormat="false" ht="15" hidden="false" customHeight="false" outlineLevel="0" collapsed="false">
      <c r="A308" s="0" t="str">
        <f aca="false">IF('Deal Tracker'!C308="","",COUNTIF('Deal Tracker'!$C$2:C308,'Deal Tracker'!C308))</f>
        <v/>
      </c>
      <c r="B308" s="0" t="str">
        <f aca="false">IF(A308="","",'Deal Tracker'!C308&amp;"#"&amp;A308)</f>
        <v/>
      </c>
      <c r="C308" s="0" t="str">
        <f aca="false">IF('Deal Tracker'!B308="","",'Deal Tracker'!B308)</f>
        <v/>
      </c>
      <c r="D308" s="0" t="str">
        <f aca="false">IF('Deal Tracker'!B308="","",IF('Deal Tracker'!D308="","TBD","$"&amp;TEXT('Deal Tracker'!D308,"#,##0")&amp;"M"))</f>
        <v/>
      </c>
      <c r="E308" s="0" t="str">
        <f aca="false">IF('Deal Tracker'!B308="","",IF(AND(F308="",G308=""),"",F308&amp;IF(OR(F308="",G308=""),"","  ·  ")&amp;G308))</f>
        <v/>
      </c>
      <c r="F308" s="0" t="str">
        <f aca="false">IF('Deal Tracker'!F308="",IF('Deal Tracker'!G308="","",'Deal Tracker'!G308),'Deal Tracker'!F308&amp;IF('Deal Tracker'!G308="","",", "&amp;'Deal Tracker'!G308))</f>
        <v/>
      </c>
      <c r="G308" s="0" t="str">
        <f aca="false">IF('Deal Tracker'!H308="","","Target: "&amp;TEXT('Deal Tracker'!H308,"mmm yyyy"))</f>
        <v/>
      </c>
    </row>
    <row r="309" customFormat="false" ht="15" hidden="false" customHeight="false" outlineLevel="0" collapsed="false">
      <c r="A309" s="0" t="str">
        <f aca="false">IF('Deal Tracker'!C309="","",COUNTIF('Deal Tracker'!$C$2:C309,'Deal Tracker'!C309))</f>
        <v/>
      </c>
      <c r="B309" s="0" t="str">
        <f aca="false">IF(A309="","",'Deal Tracker'!C309&amp;"#"&amp;A309)</f>
        <v/>
      </c>
      <c r="C309" s="0" t="str">
        <f aca="false">IF('Deal Tracker'!B309="","",'Deal Tracker'!B309)</f>
        <v/>
      </c>
      <c r="D309" s="0" t="str">
        <f aca="false">IF('Deal Tracker'!B309="","",IF('Deal Tracker'!D309="","TBD","$"&amp;TEXT('Deal Tracker'!D309,"#,##0")&amp;"M"))</f>
        <v/>
      </c>
      <c r="E309" s="0" t="str">
        <f aca="false">IF('Deal Tracker'!B309="","",IF(AND(F309="",G309=""),"",F309&amp;IF(OR(F309="",G309=""),"","  ·  ")&amp;G309))</f>
        <v/>
      </c>
      <c r="F309" s="0" t="str">
        <f aca="false">IF('Deal Tracker'!F309="",IF('Deal Tracker'!G309="","",'Deal Tracker'!G309),'Deal Tracker'!F309&amp;IF('Deal Tracker'!G309="","",", "&amp;'Deal Tracker'!G309))</f>
        <v/>
      </c>
      <c r="G309" s="0" t="str">
        <f aca="false">IF('Deal Tracker'!H309="","","Target: "&amp;TEXT('Deal Tracker'!H309,"mmm yyyy"))</f>
        <v/>
      </c>
    </row>
    <row r="310" customFormat="false" ht="15" hidden="false" customHeight="false" outlineLevel="0" collapsed="false">
      <c r="A310" s="0" t="str">
        <f aca="false">IF('Deal Tracker'!C310="","",COUNTIF('Deal Tracker'!$C$2:C310,'Deal Tracker'!C310))</f>
        <v/>
      </c>
      <c r="B310" s="0" t="str">
        <f aca="false">IF(A310="","",'Deal Tracker'!C310&amp;"#"&amp;A310)</f>
        <v/>
      </c>
      <c r="C310" s="0" t="str">
        <f aca="false">IF('Deal Tracker'!B310="","",'Deal Tracker'!B310)</f>
        <v/>
      </c>
      <c r="D310" s="0" t="str">
        <f aca="false">IF('Deal Tracker'!B310="","",IF('Deal Tracker'!D310="","TBD","$"&amp;TEXT('Deal Tracker'!D310,"#,##0")&amp;"M"))</f>
        <v/>
      </c>
      <c r="E310" s="0" t="str">
        <f aca="false">IF('Deal Tracker'!B310="","",IF(AND(F310="",G310=""),"",F310&amp;IF(OR(F310="",G310=""),"","  ·  ")&amp;G310))</f>
        <v/>
      </c>
      <c r="F310" s="0" t="str">
        <f aca="false">IF('Deal Tracker'!F310="",IF('Deal Tracker'!G310="","",'Deal Tracker'!G310),'Deal Tracker'!F310&amp;IF('Deal Tracker'!G310="","",", "&amp;'Deal Tracker'!G310))</f>
        <v/>
      </c>
      <c r="G310" s="0" t="str">
        <f aca="false">IF('Deal Tracker'!H310="","","Target: "&amp;TEXT('Deal Tracker'!H310,"mmm yyyy"))</f>
        <v/>
      </c>
    </row>
    <row r="311" customFormat="false" ht="15" hidden="false" customHeight="false" outlineLevel="0" collapsed="false">
      <c r="A311" s="0" t="str">
        <f aca="false">IF('Deal Tracker'!C311="","",COUNTIF('Deal Tracker'!$C$2:C311,'Deal Tracker'!C311))</f>
        <v/>
      </c>
      <c r="B311" s="0" t="str">
        <f aca="false">IF(A311="","",'Deal Tracker'!C311&amp;"#"&amp;A311)</f>
        <v/>
      </c>
      <c r="C311" s="0" t="str">
        <f aca="false">IF('Deal Tracker'!B311="","",'Deal Tracker'!B311)</f>
        <v/>
      </c>
      <c r="D311" s="0" t="str">
        <f aca="false">IF('Deal Tracker'!B311="","",IF('Deal Tracker'!D311="","TBD","$"&amp;TEXT('Deal Tracker'!D311,"#,##0")&amp;"M"))</f>
        <v/>
      </c>
      <c r="E311" s="0" t="str">
        <f aca="false">IF('Deal Tracker'!B311="","",IF(AND(F311="",G311=""),"",F311&amp;IF(OR(F311="",G311=""),"","  ·  ")&amp;G311))</f>
        <v/>
      </c>
      <c r="F311" s="0" t="str">
        <f aca="false">IF('Deal Tracker'!F311="",IF('Deal Tracker'!G311="","",'Deal Tracker'!G311),'Deal Tracker'!F311&amp;IF('Deal Tracker'!G311="","",", "&amp;'Deal Tracker'!G311))</f>
        <v/>
      </c>
      <c r="G311" s="0" t="str">
        <f aca="false">IF('Deal Tracker'!H311="","","Target: "&amp;TEXT('Deal Tracker'!H311,"mmm yyyy"))</f>
        <v/>
      </c>
    </row>
    <row r="312" customFormat="false" ht="15" hidden="false" customHeight="false" outlineLevel="0" collapsed="false">
      <c r="A312" s="0" t="str">
        <f aca="false">IF('Deal Tracker'!C312="","",COUNTIF('Deal Tracker'!$C$2:C312,'Deal Tracker'!C312))</f>
        <v/>
      </c>
      <c r="B312" s="0" t="str">
        <f aca="false">IF(A312="","",'Deal Tracker'!C312&amp;"#"&amp;A312)</f>
        <v/>
      </c>
      <c r="C312" s="0" t="str">
        <f aca="false">IF('Deal Tracker'!B312="","",'Deal Tracker'!B312)</f>
        <v/>
      </c>
      <c r="D312" s="0" t="str">
        <f aca="false">IF('Deal Tracker'!B312="","",IF('Deal Tracker'!D312="","TBD","$"&amp;TEXT('Deal Tracker'!D312,"#,##0")&amp;"M"))</f>
        <v/>
      </c>
      <c r="E312" s="0" t="str">
        <f aca="false">IF('Deal Tracker'!B312="","",IF(AND(F312="",G312=""),"",F312&amp;IF(OR(F312="",G312=""),"","  ·  ")&amp;G312))</f>
        <v/>
      </c>
      <c r="F312" s="0" t="str">
        <f aca="false">IF('Deal Tracker'!F312="",IF('Deal Tracker'!G312="","",'Deal Tracker'!G312),'Deal Tracker'!F312&amp;IF('Deal Tracker'!G312="","",", "&amp;'Deal Tracker'!G312))</f>
        <v/>
      </c>
      <c r="G312" s="0" t="str">
        <f aca="false">IF('Deal Tracker'!H312="","","Target: "&amp;TEXT('Deal Tracker'!H312,"mmm yyyy"))</f>
        <v/>
      </c>
    </row>
    <row r="313" customFormat="false" ht="15" hidden="false" customHeight="false" outlineLevel="0" collapsed="false">
      <c r="A313" s="0" t="str">
        <f aca="false">IF('Deal Tracker'!C313="","",COUNTIF('Deal Tracker'!$C$2:C313,'Deal Tracker'!C313))</f>
        <v/>
      </c>
      <c r="B313" s="0" t="str">
        <f aca="false">IF(A313="","",'Deal Tracker'!C313&amp;"#"&amp;A313)</f>
        <v/>
      </c>
      <c r="C313" s="0" t="str">
        <f aca="false">IF('Deal Tracker'!B313="","",'Deal Tracker'!B313)</f>
        <v/>
      </c>
      <c r="D313" s="0" t="str">
        <f aca="false">IF('Deal Tracker'!B313="","",IF('Deal Tracker'!D313="","TBD","$"&amp;TEXT('Deal Tracker'!D313,"#,##0")&amp;"M"))</f>
        <v/>
      </c>
      <c r="E313" s="0" t="str">
        <f aca="false">IF('Deal Tracker'!B313="","",IF(AND(F313="",G313=""),"",F313&amp;IF(OR(F313="",G313=""),"","  ·  ")&amp;G313))</f>
        <v/>
      </c>
      <c r="F313" s="0" t="str">
        <f aca="false">IF('Deal Tracker'!F313="",IF('Deal Tracker'!G313="","",'Deal Tracker'!G313),'Deal Tracker'!F313&amp;IF('Deal Tracker'!G313="","",", "&amp;'Deal Tracker'!G313))</f>
        <v/>
      </c>
      <c r="G313" s="0" t="str">
        <f aca="false">IF('Deal Tracker'!H313="","","Target: "&amp;TEXT('Deal Tracker'!H313,"mmm yyyy"))</f>
        <v/>
      </c>
    </row>
    <row r="314" customFormat="false" ht="15" hidden="false" customHeight="false" outlineLevel="0" collapsed="false">
      <c r="A314" s="0" t="str">
        <f aca="false">IF('Deal Tracker'!C314="","",COUNTIF('Deal Tracker'!$C$2:C314,'Deal Tracker'!C314))</f>
        <v/>
      </c>
      <c r="B314" s="0" t="str">
        <f aca="false">IF(A314="","",'Deal Tracker'!C314&amp;"#"&amp;A314)</f>
        <v/>
      </c>
      <c r="C314" s="0" t="str">
        <f aca="false">IF('Deal Tracker'!B314="","",'Deal Tracker'!B314)</f>
        <v/>
      </c>
      <c r="D314" s="0" t="str">
        <f aca="false">IF('Deal Tracker'!B314="","",IF('Deal Tracker'!D314="","TBD","$"&amp;TEXT('Deal Tracker'!D314,"#,##0")&amp;"M"))</f>
        <v/>
      </c>
      <c r="E314" s="0" t="str">
        <f aca="false">IF('Deal Tracker'!B314="","",IF(AND(F314="",G314=""),"",F314&amp;IF(OR(F314="",G314=""),"","  ·  ")&amp;G314))</f>
        <v/>
      </c>
      <c r="F314" s="0" t="str">
        <f aca="false">IF('Deal Tracker'!F314="",IF('Deal Tracker'!G314="","",'Deal Tracker'!G314),'Deal Tracker'!F314&amp;IF('Deal Tracker'!G314="","",", "&amp;'Deal Tracker'!G314))</f>
        <v/>
      </c>
      <c r="G314" s="0" t="str">
        <f aca="false">IF('Deal Tracker'!H314="","","Target: "&amp;TEXT('Deal Tracker'!H314,"mmm yyyy"))</f>
        <v/>
      </c>
    </row>
    <row r="315" customFormat="false" ht="15" hidden="false" customHeight="false" outlineLevel="0" collapsed="false">
      <c r="A315" s="0" t="str">
        <f aca="false">IF('Deal Tracker'!C315="","",COUNTIF('Deal Tracker'!$C$2:C315,'Deal Tracker'!C315))</f>
        <v/>
      </c>
      <c r="B315" s="0" t="str">
        <f aca="false">IF(A315="","",'Deal Tracker'!C315&amp;"#"&amp;A315)</f>
        <v/>
      </c>
      <c r="C315" s="0" t="str">
        <f aca="false">IF('Deal Tracker'!B315="","",'Deal Tracker'!B315)</f>
        <v/>
      </c>
      <c r="D315" s="0" t="str">
        <f aca="false">IF('Deal Tracker'!B315="","",IF('Deal Tracker'!D315="","TBD","$"&amp;TEXT('Deal Tracker'!D315,"#,##0")&amp;"M"))</f>
        <v/>
      </c>
      <c r="E315" s="0" t="str">
        <f aca="false">IF('Deal Tracker'!B315="","",IF(AND(F315="",G315=""),"",F315&amp;IF(OR(F315="",G315=""),"","  ·  ")&amp;G315))</f>
        <v/>
      </c>
      <c r="F315" s="0" t="str">
        <f aca="false">IF('Deal Tracker'!F315="",IF('Deal Tracker'!G315="","",'Deal Tracker'!G315),'Deal Tracker'!F315&amp;IF('Deal Tracker'!G315="","",", "&amp;'Deal Tracker'!G315))</f>
        <v/>
      </c>
      <c r="G315" s="0" t="str">
        <f aca="false">IF('Deal Tracker'!H315="","","Target: "&amp;TEXT('Deal Tracker'!H315,"mmm yyyy"))</f>
        <v/>
      </c>
    </row>
    <row r="316" customFormat="false" ht="15" hidden="false" customHeight="false" outlineLevel="0" collapsed="false">
      <c r="A316" s="0" t="str">
        <f aca="false">IF('Deal Tracker'!C316="","",COUNTIF('Deal Tracker'!$C$2:C316,'Deal Tracker'!C316))</f>
        <v/>
      </c>
      <c r="B316" s="0" t="str">
        <f aca="false">IF(A316="","",'Deal Tracker'!C316&amp;"#"&amp;A316)</f>
        <v/>
      </c>
      <c r="C316" s="0" t="str">
        <f aca="false">IF('Deal Tracker'!B316="","",'Deal Tracker'!B316)</f>
        <v/>
      </c>
      <c r="D316" s="0" t="str">
        <f aca="false">IF('Deal Tracker'!B316="","",IF('Deal Tracker'!D316="","TBD","$"&amp;TEXT('Deal Tracker'!D316,"#,##0")&amp;"M"))</f>
        <v/>
      </c>
      <c r="E316" s="0" t="str">
        <f aca="false">IF('Deal Tracker'!B316="","",IF(AND(F316="",G316=""),"",F316&amp;IF(OR(F316="",G316=""),"","  ·  ")&amp;G316))</f>
        <v/>
      </c>
      <c r="F316" s="0" t="str">
        <f aca="false">IF('Deal Tracker'!F316="",IF('Deal Tracker'!G316="","",'Deal Tracker'!G316),'Deal Tracker'!F316&amp;IF('Deal Tracker'!G316="","",", "&amp;'Deal Tracker'!G316))</f>
        <v/>
      </c>
      <c r="G316" s="0" t="str">
        <f aca="false">IF('Deal Tracker'!H316="","","Target: "&amp;TEXT('Deal Tracker'!H316,"mmm yyyy"))</f>
        <v/>
      </c>
    </row>
    <row r="317" customFormat="false" ht="15" hidden="false" customHeight="false" outlineLevel="0" collapsed="false">
      <c r="A317" s="0" t="str">
        <f aca="false">IF('Deal Tracker'!C317="","",COUNTIF('Deal Tracker'!$C$2:C317,'Deal Tracker'!C317))</f>
        <v/>
      </c>
      <c r="B317" s="0" t="str">
        <f aca="false">IF(A317="","",'Deal Tracker'!C317&amp;"#"&amp;A317)</f>
        <v/>
      </c>
      <c r="C317" s="0" t="str">
        <f aca="false">IF('Deal Tracker'!B317="","",'Deal Tracker'!B317)</f>
        <v/>
      </c>
      <c r="D317" s="0" t="str">
        <f aca="false">IF('Deal Tracker'!B317="","",IF('Deal Tracker'!D317="","TBD","$"&amp;TEXT('Deal Tracker'!D317,"#,##0")&amp;"M"))</f>
        <v/>
      </c>
      <c r="E317" s="0" t="str">
        <f aca="false">IF('Deal Tracker'!B317="","",IF(AND(F317="",G317=""),"",F317&amp;IF(OR(F317="",G317=""),"","  ·  ")&amp;G317))</f>
        <v/>
      </c>
      <c r="F317" s="0" t="str">
        <f aca="false">IF('Deal Tracker'!F317="",IF('Deal Tracker'!G317="","",'Deal Tracker'!G317),'Deal Tracker'!F317&amp;IF('Deal Tracker'!G317="","",", "&amp;'Deal Tracker'!G317))</f>
        <v/>
      </c>
      <c r="G317" s="0" t="str">
        <f aca="false">IF('Deal Tracker'!H317="","","Target: "&amp;TEXT('Deal Tracker'!H317,"mmm yyyy"))</f>
        <v/>
      </c>
    </row>
    <row r="318" customFormat="false" ht="15" hidden="false" customHeight="false" outlineLevel="0" collapsed="false">
      <c r="A318" s="0" t="str">
        <f aca="false">IF('Deal Tracker'!C318="","",COUNTIF('Deal Tracker'!$C$2:C318,'Deal Tracker'!C318))</f>
        <v/>
      </c>
      <c r="B318" s="0" t="str">
        <f aca="false">IF(A318="","",'Deal Tracker'!C318&amp;"#"&amp;A318)</f>
        <v/>
      </c>
      <c r="C318" s="0" t="str">
        <f aca="false">IF('Deal Tracker'!B318="","",'Deal Tracker'!B318)</f>
        <v/>
      </c>
      <c r="D318" s="0" t="str">
        <f aca="false">IF('Deal Tracker'!B318="","",IF('Deal Tracker'!D318="","TBD","$"&amp;TEXT('Deal Tracker'!D318,"#,##0")&amp;"M"))</f>
        <v/>
      </c>
      <c r="E318" s="0" t="str">
        <f aca="false">IF('Deal Tracker'!B318="","",IF(AND(F318="",G318=""),"",F318&amp;IF(OR(F318="",G318=""),"","  ·  ")&amp;G318))</f>
        <v/>
      </c>
      <c r="F318" s="0" t="str">
        <f aca="false">IF('Deal Tracker'!F318="",IF('Deal Tracker'!G318="","",'Deal Tracker'!G318),'Deal Tracker'!F318&amp;IF('Deal Tracker'!G318="","",", "&amp;'Deal Tracker'!G318))</f>
        <v/>
      </c>
      <c r="G318" s="0" t="str">
        <f aca="false">IF('Deal Tracker'!H318="","","Target: "&amp;TEXT('Deal Tracker'!H318,"mmm yyyy"))</f>
        <v/>
      </c>
    </row>
    <row r="319" customFormat="false" ht="15" hidden="false" customHeight="false" outlineLevel="0" collapsed="false">
      <c r="A319" s="0" t="str">
        <f aca="false">IF('Deal Tracker'!C319="","",COUNTIF('Deal Tracker'!$C$2:C319,'Deal Tracker'!C319))</f>
        <v/>
      </c>
      <c r="B319" s="0" t="str">
        <f aca="false">IF(A319="","",'Deal Tracker'!C319&amp;"#"&amp;A319)</f>
        <v/>
      </c>
      <c r="C319" s="0" t="str">
        <f aca="false">IF('Deal Tracker'!B319="","",'Deal Tracker'!B319)</f>
        <v/>
      </c>
      <c r="D319" s="0" t="str">
        <f aca="false">IF('Deal Tracker'!B319="","",IF('Deal Tracker'!D319="","TBD","$"&amp;TEXT('Deal Tracker'!D319,"#,##0")&amp;"M"))</f>
        <v/>
      </c>
      <c r="E319" s="0" t="str">
        <f aca="false">IF('Deal Tracker'!B319="","",IF(AND(F319="",G319=""),"",F319&amp;IF(OR(F319="",G319=""),"","  ·  ")&amp;G319))</f>
        <v/>
      </c>
      <c r="F319" s="0" t="str">
        <f aca="false">IF('Deal Tracker'!F319="",IF('Deal Tracker'!G319="","",'Deal Tracker'!G319),'Deal Tracker'!F319&amp;IF('Deal Tracker'!G319="","",", "&amp;'Deal Tracker'!G319))</f>
        <v/>
      </c>
      <c r="G319" s="0" t="str">
        <f aca="false">IF('Deal Tracker'!H319="","","Target: "&amp;TEXT('Deal Tracker'!H319,"mmm yyyy"))</f>
        <v/>
      </c>
    </row>
    <row r="320" customFormat="false" ht="15" hidden="false" customHeight="false" outlineLevel="0" collapsed="false">
      <c r="A320" s="0" t="str">
        <f aca="false">IF('Deal Tracker'!C320="","",COUNTIF('Deal Tracker'!$C$2:C320,'Deal Tracker'!C320))</f>
        <v/>
      </c>
      <c r="B320" s="0" t="str">
        <f aca="false">IF(A320="","",'Deal Tracker'!C320&amp;"#"&amp;A320)</f>
        <v/>
      </c>
      <c r="C320" s="0" t="str">
        <f aca="false">IF('Deal Tracker'!B320="","",'Deal Tracker'!B320)</f>
        <v/>
      </c>
      <c r="D320" s="0" t="str">
        <f aca="false">IF('Deal Tracker'!B320="","",IF('Deal Tracker'!D320="","TBD","$"&amp;TEXT('Deal Tracker'!D320,"#,##0")&amp;"M"))</f>
        <v/>
      </c>
      <c r="E320" s="0" t="str">
        <f aca="false">IF('Deal Tracker'!B320="","",IF(AND(F320="",G320=""),"",F320&amp;IF(OR(F320="",G320=""),"","  ·  ")&amp;G320))</f>
        <v/>
      </c>
      <c r="F320" s="0" t="str">
        <f aca="false">IF('Deal Tracker'!F320="",IF('Deal Tracker'!G320="","",'Deal Tracker'!G320),'Deal Tracker'!F320&amp;IF('Deal Tracker'!G320="","",", "&amp;'Deal Tracker'!G320))</f>
        <v/>
      </c>
      <c r="G320" s="0" t="str">
        <f aca="false">IF('Deal Tracker'!H320="","","Target: "&amp;TEXT('Deal Tracker'!H320,"mmm yyyy"))</f>
        <v/>
      </c>
    </row>
    <row r="321" customFormat="false" ht="15" hidden="false" customHeight="false" outlineLevel="0" collapsed="false">
      <c r="A321" s="0" t="str">
        <f aca="false">IF('Deal Tracker'!C321="","",COUNTIF('Deal Tracker'!$C$2:C321,'Deal Tracker'!C321))</f>
        <v/>
      </c>
      <c r="B321" s="0" t="str">
        <f aca="false">IF(A321="","",'Deal Tracker'!C321&amp;"#"&amp;A321)</f>
        <v/>
      </c>
      <c r="C321" s="0" t="str">
        <f aca="false">IF('Deal Tracker'!B321="","",'Deal Tracker'!B321)</f>
        <v/>
      </c>
      <c r="D321" s="0" t="str">
        <f aca="false">IF('Deal Tracker'!B321="","",IF('Deal Tracker'!D321="","TBD","$"&amp;TEXT('Deal Tracker'!D321,"#,##0")&amp;"M"))</f>
        <v/>
      </c>
      <c r="E321" s="0" t="str">
        <f aca="false">IF('Deal Tracker'!B321="","",IF(AND(F321="",G321=""),"",F321&amp;IF(OR(F321="",G321=""),"","  ·  ")&amp;G321))</f>
        <v/>
      </c>
      <c r="F321" s="0" t="str">
        <f aca="false">IF('Deal Tracker'!F321="",IF('Deal Tracker'!G321="","",'Deal Tracker'!G321),'Deal Tracker'!F321&amp;IF('Deal Tracker'!G321="","",", "&amp;'Deal Tracker'!G321))</f>
        <v/>
      </c>
      <c r="G321" s="0" t="str">
        <f aca="false">IF('Deal Tracker'!H321="","","Target: "&amp;TEXT('Deal Tracker'!H321,"mmm yyyy"))</f>
        <v/>
      </c>
    </row>
    <row r="322" customFormat="false" ht="15" hidden="false" customHeight="false" outlineLevel="0" collapsed="false">
      <c r="A322" s="0" t="str">
        <f aca="false">IF('Deal Tracker'!C322="","",COUNTIF('Deal Tracker'!$C$2:C322,'Deal Tracker'!C322))</f>
        <v/>
      </c>
      <c r="B322" s="0" t="str">
        <f aca="false">IF(A322="","",'Deal Tracker'!C322&amp;"#"&amp;A322)</f>
        <v/>
      </c>
      <c r="C322" s="0" t="str">
        <f aca="false">IF('Deal Tracker'!B322="","",'Deal Tracker'!B322)</f>
        <v/>
      </c>
      <c r="D322" s="0" t="str">
        <f aca="false">IF('Deal Tracker'!B322="","",IF('Deal Tracker'!D322="","TBD","$"&amp;TEXT('Deal Tracker'!D322,"#,##0")&amp;"M"))</f>
        <v/>
      </c>
      <c r="E322" s="0" t="str">
        <f aca="false">IF('Deal Tracker'!B322="","",IF(AND(F322="",G322=""),"",F322&amp;IF(OR(F322="",G322=""),"","  ·  ")&amp;G322))</f>
        <v/>
      </c>
      <c r="F322" s="0" t="str">
        <f aca="false">IF('Deal Tracker'!F322="",IF('Deal Tracker'!G322="","",'Deal Tracker'!G322),'Deal Tracker'!F322&amp;IF('Deal Tracker'!G322="","",", "&amp;'Deal Tracker'!G322))</f>
        <v/>
      </c>
      <c r="G322" s="0" t="str">
        <f aca="false">IF('Deal Tracker'!H322="","","Target: "&amp;TEXT('Deal Tracker'!H322,"mmm yyyy"))</f>
        <v/>
      </c>
    </row>
    <row r="323" customFormat="false" ht="15" hidden="false" customHeight="false" outlineLevel="0" collapsed="false">
      <c r="A323" s="0" t="str">
        <f aca="false">IF('Deal Tracker'!C323="","",COUNTIF('Deal Tracker'!$C$2:C323,'Deal Tracker'!C323))</f>
        <v/>
      </c>
      <c r="B323" s="0" t="str">
        <f aca="false">IF(A323="","",'Deal Tracker'!C323&amp;"#"&amp;A323)</f>
        <v/>
      </c>
      <c r="C323" s="0" t="str">
        <f aca="false">IF('Deal Tracker'!B323="","",'Deal Tracker'!B323)</f>
        <v/>
      </c>
      <c r="D323" s="0" t="str">
        <f aca="false">IF('Deal Tracker'!B323="","",IF('Deal Tracker'!D323="","TBD","$"&amp;TEXT('Deal Tracker'!D323,"#,##0")&amp;"M"))</f>
        <v/>
      </c>
      <c r="E323" s="0" t="str">
        <f aca="false">IF('Deal Tracker'!B323="","",IF(AND(F323="",G323=""),"",F323&amp;IF(OR(F323="",G323=""),"","  ·  ")&amp;G323))</f>
        <v/>
      </c>
      <c r="F323" s="0" t="str">
        <f aca="false">IF('Deal Tracker'!F323="",IF('Deal Tracker'!G323="","",'Deal Tracker'!G323),'Deal Tracker'!F323&amp;IF('Deal Tracker'!G323="","",", "&amp;'Deal Tracker'!G323))</f>
        <v/>
      </c>
      <c r="G323" s="0" t="str">
        <f aca="false">IF('Deal Tracker'!H323="","","Target: "&amp;TEXT('Deal Tracker'!H323,"mmm yyyy"))</f>
        <v/>
      </c>
    </row>
    <row r="324" customFormat="false" ht="15" hidden="false" customHeight="false" outlineLevel="0" collapsed="false">
      <c r="A324" s="0" t="str">
        <f aca="false">IF('Deal Tracker'!C324="","",COUNTIF('Deal Tracker'!$C$2:C324,'Deal Tracker'!C324))</f>
        <v/>
      </c>
      <c r="B324" s="0" t="str">
        <f aca="false">IF(A324="","",'Deal Tracker'!C324&amp;"#"&amp;A324)</f>
        <v/>
      </c>
      <c r="C324" s="0" t="str">
        <f aca="false">IF('Deal Tracker'!B324="","",'Deal Tracker'!B324)</f>
        <v/>
      </c>
      <c r="D324" s="0" t="str">
        <f aca="false">IF('Deal Tracker'!B324="","",IF('Deal Tracker'!D324="","TBD","$"&amp;TEXT('Deal Tracker'!D324,"#,##0")&amp;"M"))</f>
        <v/>
      </c>
      <c r="E324" s="0" t="str">
        <f aca="false">IF('Deal Tracker'!B324="","",IF(AND(F324="",G324=""),"",F324&amp;IF(OR(F324="",G324=""),"","  ·  ")&amp;G324))</f>
        <v/>
      </c>
      <c r="F324" s="0" t="str">
        <f aca="false">IF('Deal Tracker'!F324="",IF('Deal Tracker'!G324="","",'Deal Tracker'!G324),'Deal Tracker'!F324&amp;IF('Deal Tracker'!G324="","",", "&amp;'Deal Tracker'!G324))</f>
        <v/>
      </c>
      <c r="G324" s="0" t="str">
        <f aca="false">IF('Deal Tracker'!H324="","","Target: "&amp;TEXT('Deal Tracker'!H324,"mmm yyyy"))</f>
        <v/>
      </c>
    </row>
    <row r="325" customFormat="false" ht="15" hidden="false" customHeight="false" outlineLevel="0" collapsed="false">
      <c r="A325" s="0" t="str">
        <f aca="false">IF('Deal Tracker'!C325="","",COUNTIF('Deal Tracker'!$C$2:C325,'Deal Tracker'!C325))</f>
        <v/>
      </c>
      <c r="B325" s="0" t="str">
        <f aca="false">IF(A325="","",'Deal Tracker'!C325&amp;"#"&amp;A325)</f>
        <v/>
      </c>
      <c r="C325" s="0" t="str">
        <f aca="false">IF('Deal Tracker'!B325="","",'Deal Tracker'!B325)</f>
        <v/>
      </c>
      <c r="D325" s="0" t="str">
        <f aca="false">IF('Deal Tracker'!B325="","",IF('Deal Tracker'!D325="","TBD","$"&amp;TEXT('Deal Tracker'!D325,"#,##0")&amp;"M"))</f>
        <v/>
      </c>
      <c r="E325" s="0" t="str">
        <f aca="false">IF('Deal Tracker'!B325="","",IF(AND(F325="",G325=""),"",F325&amp;IF(OR(F325="",G325=""),"","  ·  ")&amp;G325))</f>
        <v/>
      </c>
      <c r="F325" s="0" t="str">
        <f aca="false">IF('Deal Tracker'!F325="",IF('Deal Tracker'!G325="","",'Deal Tracker'!G325),'Deal Tracker'!F325&amp;IF('Deal Tracker'!G325="","",", "&amp;'Deal Tracker'!G325))</f>
        <v/>
      </c>
      <c r="G325" s="0" t="str">
        <f aca="false">IF('Deal Tracker'!H325="","","Target: "&amp;TEXT('Deal Tracker'!H325,"mmm yyyy"))</f>
        <v/>
      </c>
    </row>
    <row r="326" customFormat="false" ht="15" hidden="false" customHeight="false" outlineLevel="0" collapsed="false">
      <c r="A326" s="0" t="str">
        <f aca="false">IF('Deal Tracker'!C326="","",COUNTIF('Deal Tracker'!$C$2:C326,'Deal Tracker'!C326))</f>
        <v/>
      </c>
      <c r="B326" s="0" t="str">
        <f aca="false">IF(A326="","",'Deal Tracker'!C326&amp;"#"&amp;A326)</f>
        <v/>
      </c>
      <c r="C326" s="0" t="str">
        <f aca="false">IF('Deal Tracker'!B326="","",'Deal Tracker'!B326)</f>
        <v/>
      </c>
      <c r="D326" s="0" t="str">
        <f aca="false">IF('Deal Tracker'!B326="","",IF('Deal Tracker'!D326="","TBD","$"&amp;TEXT('Deal Tracker'!D326,"#,##0")&amp;"M"))</f>
        <v/>
      </c>
      <c r="E326" s="0" t="str">
        <f aca="false">IF('Deal Tracker'!B326="","",IF(AND(F326="",G326=""),"",F326&amp;IF(OR(F326="",G326=""),"","  ·  ")&amp;G326))</f>
        <v/>
      </c>
      <c r="F326" s="0" t="str">
        <f aca="false">IF('Deal Tracker'!F326="",IF('Deal Tracker'!G326="","",'Deal Tracker'!G326),'Deal Tracker'!F326&amp;IF('Deal Tracker'!G326="","",", "&amp;'Deal Tracker'!G326))</f>
        <v/>
      </c>
      <c r="G326" s="0" t="str">
        <f aca="false">IF('Deal Tracker'!H326="","","Target: "&amp;TEXT('Deal Tracker'!H326,"mmm yyyy"))</f>
        <v/>
      </c>
    </row>
    <row r="327" customFormat="false" ht="15" hidden="false" customHeight="false" outlineLevel="0" collapsed="false">
      <c r="A327" s="0" t="str">
        <f aca="false">IF('Deal Tracker'!C327="","",COUNTIF('Deal Tracker'!$C$2:C327,'Deal Tracker'!C327))</f>
        <v/>
      </c>
      <c r="B327" s="0" t="str">
        <f aca="false">IF(A327="","",'Deal Tracker'!C327&amp;"#"&amp;A327)</f>
        <v/>
      </c>
      <c r="C327" s="0" t="str">
        <f aca="false">IF('Deal Tracker'!B327="","",'Deal Tracker'!B327)</f>
        <v/>
      </c>
      <c r="D327" s="0" t="str">
        <f aca="false">IF('Deal Tracker'!B327="","",IF('Deal Tracker'!D327="","TBD","$"&amp;TEXT('Deal Tracker'!D327,"#,##0")&amp;"M"))</f>
        <v/>
      </c>
      <c r="E327" s="0" t="str">
        <f aca="false">IF('Deal Tracker'!B327="","",IF(AND(F327="",G327=""),"",F327&amp;IF(OR(F327="",G327=""),"","  ·  ")&amp;G327))</f>
        <v/>
      </c>
      <c r="F327" s="0" t="str">
        <f aca="false">IF('Deal Tracker'!F327="",IF('Deal Tracker'!G327="","",'Deal Tracker'!G327),'Deal Tracker'!F327&amp;IF('Deal Tracker'!G327="","",", "&amp;'Deal Tracker'!G327))</f>
        <v/>
      </c>
      <c r="G327" s="0" t="str">
        <f aca="false">IF('Deal Tracker'!H327="","","Target: "&amp;TEXT('Deal Tracker'!H327,"mmm yyyy"))</f>
        <v/>
      </c>
    </row>
    <row r="328" customFormat="false" ht="15" hidden="false" customHeight="false" outlineLevel="0" collapsed="false">
      <c r="A328" s="0" t="str">
        <f aca="false">IF('Deal Tracker'!C328="","",COUNTIF('Deal Tracker'!$C$2:C328,'Deal Tracker'!C328))</f>
        <v/>
      </c>
      <c r="B328" s="0" t="str">
        <f aca="false">IF(A328="","",'Deal Tracker'!C328&amp;"#"&amp;A328)</f>
        <v/>
      </c>
      <c r="C328" s="0" t="str">
        <f aca="false">IF('Deal Tracker'!B328="","",'Deal Tracker'!B328)</f>
        <v/>
      </c>
      <c r="D328" s="0" t="str">
        <f aca="false">IF('Deal Tracker'!B328="","",IF('Deal Tracker'!D328="","TBD","$"&amp;TEXT('Deal Tracker'!D328,"#,##0")&amp;"M"))</f>
        <v/>
      </c>
      <c r="E328" s="0" t="str">
        <f aca="false">IF('Deal Tracker'!B328="","",IF(AND(F328="",G328=""),"",F328&amp;IF(OR(F328="",G328=""),"","  ·  ")&amp;G328))</f>
        <v/>
      </c>
      <c r="F328" s="0" t="str">
        <f aca="false">IF('Deal Tracker'!F328="",IF('Deal Tracker'!G328="","",'Deal Tracker'!G328),'Deal Tracker'!F328&amp;IF('Deal Tracker'!G328="","",", "&amp;'Deal Tracker'!G328))</f>
        <v/>
      </c>
      <c r="G328" s="0" t="str">
        <f aca="false">IF('Deal Tracker'!H328="","","Target: "&amp;TEXT('Deal Tracker'!H328,"mmm yyyy"))</f>
        <v/>
      </c>
    </row>
    <row r="329" customFormat="false" ht="15" hidden="false" customHeight="false" outlineLevel="0" collapsed="false">
      <c r="A329" s="0" t="str">
        <f aca="false">IF('Deal Tracker'!C329="","",COUNTIF('Deal Tracker'!$C$2:C329,'Deal Tracker'!C329))</f>
        <v/>
      </c>
      <c r="B329" s="0" t="str">
        <f aca="false">IF(A329="","",'Deal Tracker'!C329&amp;"#"&amp;A329)</f>
        <v/>
      </c>
      <c r="C329" s="0" t="str">
        <f aca="false">IF('Deal Tracker'!B329="","",'Deal Tracker'!B329)</f>
        <v/>
      </c>
      <c r="D329" s="0" t="str">
        <f aca="false">IF('Deal Tracker'!B329="","",IF('Deal Tracker'!D329="","TBD","$"&amp;TEXT('Deal Tracker'!D329,"#,##0")&amp;"M"))</f>
        <v/>
      </c>
      <c r="E329" s="0" t="str">
        <f aca="false">IF('Deal Tracker'!B329="","",IF(AND(F329="",G329=""),"",F329&amp;IF(OR(F329="",G329=""),"","  ·  ")&amp;G329))</f>
        <v/>
      </c>
      <c r="F329" s="0" t="str">
        <f aca="false">IF('Deal Tracker'!F329="",IF('Deal Tracker'!G329="","",'Deal Tracker'!G329),'Deal Tracker'!F329&amp;IF('Deal Tracker'!G329="","",", "&amp;'Deal Tracker'!G329))</f>
        <v/>
      </c>
      <c r="G329" s="0" t="str">
        <f aca="false">IF('Deal Tracker'!H329="","","Target: "&amp;TEXT('Deal Tracker'!H329,"mmm yyyy"))</f>
        <v/>
      </c>
    </row>
    <row r="330" customFormat="false" ht="15" hidden="false" customHeight="false" outlineLevel="0" collapsed="false">
      <c r="A330" s="0" t="str">
        <f aca="false">IF('Deal Tracker'!C330="","",COUNTIF('Deal Tracker'!$C$2:C330,'Deal Tracker'!C330))</f>
        <v/>
      </c>
      <c r="B330" s="0" t="str">
        <f aca="false">IF(A330="","",'Deal Tracker'!C330&amp;"#"&amp;A330)</f>
        <v/>
      </c>
      <c r="C330" s="0" t="str">
        <f aca="false">IF('Deal Tracker'!B330="","",'Deal Tracker'!B330)</f>
        <v/>
      </c>
      <c r="D330" s="0" t="str">
        <f aca="false">IF('Deal Tracker'!B330="","",IF('Deal Tracker'!D330="","TBD","$"&amp;TEXT('Deal Tracker'!D330,"#,##0")&amp;"M"))</f>
        <v/>
      </c>
      <c r="E330" s="0" t="str">
        <f aca="false">IF('Deal Tracker'!B330="","",IF(AND(F330="",G330=""),"",F330&amp;IF(OR(F330="",G330=""),"","  ·  ")&amp;G330))</f>
        <v/>
      </c>
      <c r="F330" s="0" t="str">
        <f aca="false">IF('Deal Tracker'!F330="",IF('Deal Tracker'!G330="","",'Deal Tracker'!G330),'Deal Tracker'!F330&amp;IF('Deal Tracker'!G330="","",", "&amp;'Deal Tracker'!G330))</f>
        <v/>
      </c>
      <c r="G330" s="0" t="str">
        <f aca="false">IF('Deal Tracker'!H330="","","Target: "&amp;TEXT('Deal Tracker'!H330,"mmm yyyy"))</f>
        <v/>
      </c>
    </row>
    <row r="331" customFormat="false" ht="15" hidden="false" customHeight="false" outlineLevel="0" collapsed="false">
      <c r="A331" s="0" t="str">
        <f aca="false">IF('Deal Tracker'!C331="","",COUNTIF('Deal Tracker'!$C$2:C331,'Deal Tracker'!C331))</f>
        <v/>
      </c>
      <c r="B331" s="0" t="str">
        <f aca="false">IF(A331="","",'Deal Tracker'!C331&amp;"#"&amp;A331)</f>
        <v/>
      </c>
      <c r="C331" s="0" t="str">
        <f aca="false">IF('Deal Tracker'!B331="","",'Deal Tracker'!B331)</f>
        <v/>
      </c>
      <c r="D331" s="0" t="str">
        <f aca="false">IF('Deal Tracker'!B331="","",IF('Deal Tracker'!D331="","TBD","$"&amp;TEXT('Deal Tracker'!D331,"#,##0")&amp;"M"))</f>
        <v/>
      </c>
      <c r="E331" s="0" t="str">
        <f aca="false">IF('Deal Tracker'!B331="","",IF(AND(F331="",G331=""),"",F331&amp;IF(OR(F331="",G331=""),"","  ·  ")&amp;G331))</f>
        <v/>
      </c>
      <c r="F331" s="0" t="str">
        <f aca="false">IF('Deal Tracker'!F331="",IF('Deal Tracker'!G331="","",'Deal Tracker'!G331),'Deal Tracker'!F331&amp;IF('Deal Tracker'!G331="","",", "&amp;'Deal Tracker'!G331))</f>
        <v/>
      </c>
      <c r="G331" s="0" t="str">
        <f aca="false">IF('Deal Tracker'!H331="","","Target: "&amp;TEXT('Deal Tracker'!H331,"mmm yyyy"))</f>
        <v/>
      </c>
    </row>
    <row r="332" customFormat="false" ht="15" hidden="false" customHeight="false" outlineLevel="0" collapsed="false">
      <c r="A332" s="0" t="str">
        <f aca="false">IF('Deal Tracker'!C332="","",COUNTIF('Deal Tracker'!$C$2:C332,'Deal Tracker'!C332))</f>
        <v/>
      </c>
      <c r="B332" s="0" t="str">
        <f aca="false">IF(A332="","",'Deal Tracker'!C332&amp;"#"&amp;A332)</f>
        <v/>
      </c>
      <c r="C332" s="0" t="str">
        <f aca="false">IF('Deal Tracker'!B332="","",'Deal Tracker'!B332)</f>
        <v/>
      </c>
      <c r="D332" s="0" t="str">
        <f aca="false">IF('Deal Tracker'!B332="","",IF('Deal Tracker'!D332="","TBD","$"&amp;TEXT('Deal Tracker'!D332,"#,##0")&amp;"M"))</f>
        <v/>
      </c>
      <c r="E332" s="0" t="str">
        <f aca="false">IF('Deal Tracker'!B332="","",IF(AND(F332="",G332=""),"",F332&amp;IF(OR(F332="",G332=""),"","  ·  ")&amp;G332))</f>
        <v/>
      </c>
      <c r="F332" s="0" t="str">
        <f aca="false">IF('Deal Tracker'!F332="",IF('Deal Tracker'!G332="","",'Deal Tracker'!G332),'Deal Tracker'!F332&amp;IF('Deal Tracker'!G332="","",", "&amp;'Deal Tracker'!G332))</f>
        <v/>
      </c>
      <c r="G332" s="0" t="str">
        <f aca="false">IF('Deal Tracker'!H332="","","Target: "&amp;TEXT('Deal Tracker'!H332,"mmm yyyy"))</f>
        <v/>
      </c>
    </row>
    <row r="333" customFormat="false" ht="15" hidden="false" customHeight="false" outlineLevel="0" collapsed="false">
      <c r="A333" s="0" t="str">
        <f aca="false">IF('Deal Tracker'!C333="","",COUNTIF('Deal Tracker'!$C$2:C333,'Deal Tracker'!C333))</f>
        <v/>
      </c>
      <c r="B333" s="0" t="str">
        <f aca="false">IF(A333="","",'Deal Tracker'!C333&amp;"#"&amp;A333)</f>
        <v/>
      </c>
      <c r="C333" s="0" t="str">
        <f aca="false">IF('Deal Tracker'!B333="","",'Deal Tracker'!B333)</f>
        <v/>
      </c>
      <c r="D333" s="0" t="str">
        <f aca="false">IF('Deal Tracker'!B333="","",IF('Deal Tracker'!D333="","TBD","$"&amp;TEXT('Deal Tracker'!D333,"#,##0")&amp;"M"))</f>
        <v/>
      </c>
      <c r="E333" s="0" t="str">
        <f aca="false">IF('Deal Tracker'!B333="","",IF(AND(F333="",G333=""),"",F333&amp;IF(OR(F333="",G333=""),"","  ·  ")&amp;G333))</f>
        <v/>
      </c>
      <c r="F333" s="0" t="str">
        <f aca="false">IF('Deal Tracker'!F333="",IF('Deal Tracker'!G333="","",'Deal Tracker'!G333),'Deal Tracker'!F333&amp;IF('Deal Tracker'!G333="","",", "&amp;'Deal Tracker'!G333))</f>
        <v/>
      </c>
      <c r="G333" s="0" t="str">
        <f aca="false">IF('Deal Tracker'!H333="","","Target: "&amp;TEXT('Deal Tracker'!H333,"mmm yyyy"))</f>
        <v/>
      </c>
    </row>
    <row r="334" customFormat="false" ht="15" hidden="false" customHeight="false" outlineLevel="0" collapsed="false">
      <c r="A334" s="0" t="str">
        <f aca="false">IF('Deal Tracker'!C334="","",COUNTIF('Deal Tracker'!$C$2:C334,'Deal Tracker'!C334))</f>
        <v/>
      </c>
      <c r="B334" s="0" t="str">
        <f aca="false">IF(A334="","",'Deal Tracker'!C334&amp;"#"&amp;A334)</f>
        <v/>
      </c>
      <c r="C334" s="0" t="str">
        <f aca="false">IF('Deal Tracker'!B334="","",'Deal Tracker'!B334)</f>
        <v/>
      </c>
      <c r="D334" s="0" t="str">
        <f aca="false">IF('Deal Tracker'!B334="","",IF('Deal Tracker'!D334="","TBD","$"&amp;TEXT('Deal Tracker'!D334,"#,##0")&amp;"M"))</f>
        <v/>
      </c>
      <c r="E334" s="0" t="str">
        <f aca="false">IF('Deal Tracker'!B334="","",IF(AND(F334="",G334=""),"",F334&amp;IF(OR(F334="",G334=""),"","  ·  ")&amp;G334))</f>
        <v/>
      </c>
      <c r="F334" s="0" t="str">
        <f aca="false">IF('Deal Tracker'!F334="",IF('Deal Tracker'!G334="","",'Deal Tracker'!G334),'Deal Tracker'!F334&amp;IF('Deal Tracker'!G334="","",", "&amp;'Deal Tracker'!G334))</f>
        <v/>
      </c>
      <c r="G334" s="0" t="str">
        <f aca="false">IF('Deal Tracker'!H334="","","Target: "&amp;TEXT('Deal Tracker'!H334,"mmm yyyy"))</f>
        <v/>
      </c>
    </row>
    <row r="335" customFormat="false" ht="15" hidden="false" customHeight="false" outlineLevel="0" collapsed="false">
      <c r="A335" s="0" t="str">
        <f aca="false">IF('Deal Tracker'!C335="","",COUNTIF('Deal Tracker'!$C$2:C335,'Deal Tracker'!C335))</f>
        <v/>
      </c>
      <c r="B335" s="0" t="str">
        <f aca="false">IF(A335="","",'Deal Tracker'!C335&amp;"#"&amp;A335)</f>
        <v/>
      </c>
      <c r="C335" s="0" t="str">
        <f aca="false">IF('Deal Tracker'!B335="","",'Deal Tracker'!B335)</f>
        <v/>
      </c>
      <c r="D335" s="0" t="str">
        <f aca="false">IF('Deal Tracker'!B335="","",IF('Deal Tracker'!D335="","TBD","$"&amp;TEXT('Deal Tracker'!D335,"#,##0")&amp;"M"))</f>
        <v/>
      </c>
      <c r="E335" s="0" t="str">
        <f aca="false">IF('Deal Tracker'!B335="","",IF(AND(F335="",G335=""),"",F335&amp;IF(OR(F335="",G335=""),"","  ·  ")&amp;G335))</f>
        <v/>
      </c>
      <c r="F335" s="0" t="str">
        <f aca="false">IF('Deal Tracker'!F335="",IF('Deal Tracker'!G335="","",'Deal Tracker'!G335),'Deal Tracker'!F335&amp;IF('Deal Tracker'!G335="","",", "&amp;'Deal Tracker'!G335))</f>
        <v/>
      </c>
      <c r="G335" s="0" t="str">
        <f aca="false">IF('Deal Tracker'!H335="","","Target: "&amp;TEXT('Deal Tracker'!H335,"mmm yyyy"))</f>
        <v/>
      </c>
    </row>
    <row r="336" customFormat="false" ht="15" hidden="false" customHeight="false" outlineLevel="0" collapsed="false">
      <c r="A336" s="0" t="str">
        <f aca="false">IF('Deal Tracker'!C336="","",COUNTIF('Deal Tracker'!$C$2:C336,'Deal Tracker'!C336))</f>
        <v/>
      </c>
      <c r="B336" s="0" t="str">
        <f aca="false">IF(A336="","",'Deal Tracker'!C336&amp;"#"&amp;A336)</f>
        <v/>
      </c>
      <c r="C336" s="0" t="str">
        <f aca="false">IF('Deal Tracker'!B336="","",'Deal Tracker'!B336)</f>
        <v/>
      </c>
      <c r="D336" s="0" t="str">
        <f aca="false">IF('Deal Tracker'!B336="","",IF('Deal Tracker'!D336="","TBD","$"&amp;TEXT('Deal Tracker'!D336,"#,##0")&amp;"M"))</f>
        <v/>
      </c>
      <c r="E336" s="0" t="str">
        <f aca="false">IF('Deal Tracker'!B336="","",IF(AND(F336="",G336=""),"",F336&amp;IF(OR(F336="",G336=""),"","  ·  ")&amp;G336))</f>
        <v/>
      </c>
      <c r="F336" s="0" t="str">
        <f aca="false">IF('Deal Tracker'!F336="",IF('Deal Tracker'!G336="","",'Deal Tracker'!G336),'Deal Tracker'!F336&amp;IF('Deal Tracker'!G336="","",", "&amp;'Deal Tracker'!G336))</f>
        <v/>
      </c>
      <c r="G336" s="0" t="str">
        <f aca="false">IF('Deal Tracker'!H336="","","Target: "&amp;TEXT('Deal Tracker'!H336,"mmm yyyy"))</f>
        <v/>
      </c>
    </row>
    <row r="337" customFormat="false" ht="15" hidden="false" customHeight="false" outlineLevel="0" collapsed="false">
      <c r="A337" s="0" t="str">
        <f aca="false">IF('Deal Tracker'!C337="","",COUNTIF('Deal Tracker'!$C$2:C337,'Deal Tracker'!C337))</f>
        <v/>
      </c>
      <c r="B337" s="0" t="str">
        <f aca="false">IF(A337="","",'Deal Tracker'!C337&amp;"#"&amp;A337)</f>
        <v/>
      </c>
      <c r="C337" s="0" t="str">
        <f aca="false">IF('Deal Tracker'!B337="","",'Deal Tracker'!B337)</f>
        <v/>
      </c>
      <c r="D337" s="0" t="str">
        <f aca="false">IF('Deal Tracker'!B337="","",IF('Deal Tracker'!D337="","TBD","$"&amp;TEXT('Deal Tracker'!D337,"#,##0")&amp;"M"))</f>
        <v/>
      </c>
      <c r="E337" s="0" t="str">
        <f aca="false">IF('Deal Tracker'!B337="","",IF(AND(F337="",G337=""),"",F337&amp;IF(OR(F337="",G337=""),"","  ·  ")&amp;G337))</f>
        <v/>
      </c>
      <c r="F337" s="0" t="str">
        <f aca="false">IF('Deal Tracker'!F337="",IF('Deal Tracker'!G337="","",'Deal Tracker'!G337),'Deal Tracker'!F337&amp;IF('Deal Tracker'!G337="","",", "&amp;'Deal Tracker'!G337))</f>
        <v/>
      </c>
      <c r="G337" s="0" t="str">
        <f aca="false">IF('Deal Tracker'!H337="","","Target: "&amp;TEXT('Deal Tracker'!H337,"mmm yyyy"))</f>
        <v/>
      </c>
    </row>
    <row r="338" customFormat="false" ht="15" hidden="false" customHeight="false" outlineLevel="0" collapsed="false">
      <c r="A338" s="0" t="str">
        <f aca="false">IF('Deal Tracker'!C338="","",COUNTIF('Deal Tracker'!$C$2:C338,'Deal Tracker'!C338))</f>
        <v/>
      </c>
      <c r="B338" s="0" t="str">
        <f aca="false">IF(A338="","",'Deal Tracker'!C338&amp;"#"&amp;A338)</f>
        <v/>
      </c>
      <c r="C338" s="0" t="str">
        <f aca="false">IF('Deal Tracker'!B338="","",'Deal Tracker'!B338)</f>
        <v/>
      </c>
      <c r="D338" s="0" t="str">
        <f aca="false">IF('Deal Tracker'!B338="","",IF('Deal Tracker'!D338="","TBD","$"&amp;TEXT('Deal Tracker'!D338,"#,##0")&amp;"M"))</f>
        <v/>
      </c>
      <c r="E338" s="0" t="str">
        <f aca="false">IF('Deal Tracker'!B338="","",IF(AND(F338="",G338=""),"",F338&amp;IF(OR(F338="",G338=""),"","  ·  ")&amp;G338))</f>
        <v/>
      </c>
      <c r="F338" s="0" t="str">
        <f aca="false">IF('Deal Tracker'!F338="",IF('Deal Tracker'!G338="","",'Deal Tracker'!G338),'Deal Tracker'!F338&amp;IF('Deal Tracker'!G338="","",", "&amp;'Deal Tracker'!G338))</f>
        <v/>
      </c>
      <c r="G338" s="0" t="str">
        <f aca="false">IF('Deal Tracker'!H338="","","Target: "&amp;TEXT('Deal Tracker'!H338,"mmm yyyy"))</f>
        <v/>
      </c>
    </row>
    <row r="339" customFormat="false" ht="15" hidden="false" customHeight="false" outlineLevel="0" collapsed="false">
      <c r="A339" s="0" t="str">
        <f aca="false">IF('Deal Tracker'!C339="","",COUNTIF('Deal Tracker'!$C$2:C339,'Deal Tracker'!C339))</f>
        <v/>
      </c>
      <c r="B339" s="0" t="str">
        <f aca="false">IF(A339="","",'Deal Tracker'!C339&amp;"#"&amp;A339)</f>
        <v/>
      </c>
      <c r="C339" s="0" t="str">
        <f aca="false">IF('Deal Tracker'!B339="","",'Deal Tracker'!B339)</f>
        <v/>
      </c>
      <c r="D339" s="0" t="str">
        <f aca="false">IF('Deal Tracker'!B339="","",IF('Deal Tracker'!D339="","TBD","$"&amp;TEXT('Deal Tracker'!D339,"#,##0")&amp;"M"))</f>
        <v/>
      </c>
      <c r="E339" s="0" t="str">
        <f aca="false">IF('Deal Tracker'!B339="","",IF(AND(F339="",G339=""),"",F339&amp;IF(OR(F339="",G339=""),"","  ·  ")&amp;G339))</f>
        <v/>
      </c>
      <c r="F339" s="0" t="str">
        <f aca="false">IF('Deal Tracker'!F339="",IF('Deal Tracker'!G339="","",'Deal Tracker'!G339),'Deal Tracker'!F339&amp;IF('Deal Tracker'!G339="","",", "&amp;'Deal Tracker'!G339))</f>
        <v/>
      </c>
      <c r="G339" s="0" t="str">
        <f aca="false">IF('Deal Tracker'!H339="","","Target: "&amp;TEXT('Deal Tracker'!H339,"mmm yyyy"))</f>
        <v/>
      </c>
    </row>
    <row r="340" customFormat="false" ht="15" hidden="false" customHeight="false" outlineLevel="0" collapsed="false">
      <c r="A340" s="0" t="str">
        <f aca="false">IF('Deal Tracker'!C340="","",COUNTIF('Deal Tracker'!$C$2:C340,'Deal Tracker'!C340))</f>
        <v/>
      </c>
      <c r="B340" s="0" t="str">
        <f aca="false">IF(A340="","",'Deal Tracker'!C340&amp;"#"&amp;A340)</f>
        <v/>
      </c>
      <c r="C340" s="0" t="str">
        <f aca="false">IF('Deal Tracker'!B340="","",'Deal Tracker'!B340)</f>
        <v/>
      </c>
      <c r="D340" s="0" t="str">
        <f aca="false">IF('Deal Tracker'!B340="","",IF('Deal Tracker'!D340="","TBD","$"&amp;TEXT('Deal Tracker'!D340,"#,##0")&amp;"M"))</f>
        <v/>
      </c>
      <c r="E340" s="0" t="str">
        <f aca="false">IF('Deal Tracker'!B340="","",IF(AND(F340="",G340=""),"",F340&amp;IF(OR(F340="",G340=""),"","  ·  ")&amp;G340))</f>
        <v/>
      </c>
      <c r="F340" s="0" t="str">
        <f aca="false">IF('Deal Tracker'!F340="",IF('Deal Tracker'!G340="","",'Deal Tracker'!G340),'Deal Tracker'!F340&amp;IF('Deal Tracker'!G340="","",", "&amp;'Deal Tracker'!G340))</f>
        <v/>
      </c>
      <c r="G340" s="0" t="str">
        <f aca="false">IF('Deal Tracker'!H340="","","Target: "&amp;TEXT('Deal Tracker'!H340,"mmm yyyy"))</f>
        <v/>
      </c>
    </row>
    <row r="341" customFormat="false" ht="15" hidden="false" customHeight="false" outlineLevel="0" collapsed="false">
      <c r="A341" s="0" t="str">
        <f aca="false">IF('Deal Tracker'!C341="","",COUNTIF('Deal Tracker'!$C$2:C341,'Deal Tracker'!C341))</f>
        <v/>
      </c>
      <c r="B341" s="0" t="str">
        <f aca="false">IF(A341="","",'Deal Tracker'!C341&amp;"#"&amp;A341)</f>
        <v/>
      </c>
      <c r="C341" s="0" t="str">
        <f aca="false">IF('Deal Tracker'!B341="","",'Deal Tracker'!B341)</f>
        <v/>
      </c>
      <c r="D341" s="0" t="str">
        <f aca="false">IF('Deal Tracker'!B341="","",IF('Deal Tracker'!D341="","TBD","$"&amp;TEXT('Deal Tracker'!D341,"#,##0")&amp;"M"))</f>
        <v/>
      </c>
      <c r="E341" s="0" t="str">
        <f aca="false">IF('Deal Tracker'!B341="","",IF(AND(F341="",G341=""),"",F341&amp;IF(OR(F341="",G341=""),"","  ·  ")&amp;G341))</f>
        <v/>
      </c>
      <c r="F341" s="0" t="str">
        <f aca="false">IF('Deal Tracker'!F341="",IF('Deal Tracker'!G341="","",'Deal Tracker'!G341),'Deal Tracker'!F341&amp;IF('Deal Tracker'!G341="","",", "&amp;'Deal Tracker'!G341))</f>
        <v/>
      </c>
      <c r="G341" s="0" t="str">
        <f aca="false">IF('Deal Tracker'!H341="","","Target: "&amp;TEXT('Deal Tracker'!H341,"mmm yyyy"))</f>
        <v/>
      </c>
    </row>
    <row r="342" customFormat="false" ht="15" hidden="false" customHeight="false" outlineLevel="0" collapsed="false">
      <c r="A342" s="0" t="str">
        <f aca="false">IF('Deal Tracker'!C342="","",COUNTIF('Deal Tracker'!$C$2:C342,'Deal Tracker'!C342))</f>
        <v/>
      </c>
      <c r="B342" s="0" t="str">
        <f aca="false">IF(A342="","",'Deal Tracker'!C342&amp;"#"&amp;A342)</f>
        <v/>
      </c>
      <c r="C342" s="0" t="str">
        <f aca="false">IF('Deal Tracker'!B342="","",'Deal Tracker'!B342)</f>
        <v/>
      </c>
      <c r="D342" s="0" t="str">
        <f aca="false">IF('Deal Tracker'!B342="","",IF('Deal Tracker'!D342="","TBD","$"&amp;TEXT('Deal Tracker'!D342,"#,##0")&amp;"M"))</f>
        <v/>
      </c>
      <c r="E342" s="0" t="str">
        <f aca="false">IF('Deal Tracker'!B342="","",IF(AND(F342="",G342=""),"",F342&amp;IF(OR(F342="",G342=""),"","  ·  ")&amp;G342))</f>
        <v/>
      </c>
      <c r="F342" s="0" t="str">
        <f aca="false">IF('Deal Tracker'!F342="",IF('Deal Tracker'!G342="","",'Deal Tracker'!G342),'Deal Tracker'!F342&amp;IF('Deal Tracker'!G342="","",", "&amp;'Deal Tracker'!G342))</f>
        <v/>
      </c>
      <c r="G342" s="0" t="str">
        <f aca="false">IF('Deal Tracker'!H342="","","Target: "&amp;TEXT('Deal Tracker'!H342,"mmm yyyy"))</f>
        <v/>
      </c>
    </row>
    <row r="343" customFormat="false" ht="15" hidden="false" customHeight="false" outlineLevel="0" collapsed="false">
      <c r="A343" s="0" t="str">
        <f aca="false">IF('Deal Tracker'!C343="","",COUNTIF('Deal Tracker'!$C$2:C343,'Deal Tracker'!C343))</f>
        <v/>
      </c>
      <c r="B343" s="0" t="str">
        <f aca="false">IF(A343="","",'Deal Tracker'!C343&amp;"#"&amp;A343)</f>
        <v/>
      </c>
      <c r="C343" s="0" t="str">
        <f aca="false">IF('Deal Tracker'!B343="","",'Deal Tracker'!B343)</f>
        <v/>
      </c>
      <c r="D343" s="0" t="str">
        <f aca="false">IF('Deal Tracker'!B343="","",IF('Deal Tracker'!D343="","TBD","$"&amp;TEXT('Deal Tracker'!D343,"#,##0")&amp;"M"))</f>
        <v/>
      </c>
      <c r="E343" s="0" t="str">
        <f aca="false">IF('Deal Tracker'!B343="","",IF(AND(F343="",G343=""),"",F343&amp;IF(OR(F343="",G343=""),"","  ·  ")&amp;G343))</f>
        <v/>
      </c>
      <c r="F343" s="0" t="str">
        <f aca="false">IF('Deal Tracker'!F343="",IF('Deal Tracker'!G343="","",'Deal Tracker'!G343),'Deal Tracker'!F343&amp;IF('Deal Tracker'!G343="","",", "&amp;'Deal Tracker'!G343))</f>
        <v/>
      </c>
      <c r="G343" s="0" t="str">
        <f aca="false">IF('Deal Tracker'!H343="","","Target: "&amp;TEXT('Deal Tracker'!H343,"mmm yyyy"))</f>
        <v/>
      </c>
    </row>
    <row r="344" customFormat="false" ht="15" hidden="false" customHeight="false" outlineLevel="0" collapsed="false">
      <c r="A344" s="0" t="str">
        <f aca="false">IF('Deal Tracker'!C344="","",COUNTIF('Deal Tracker'!$C$2:C344,'Deal Tracker'!C344))</f>
        <v/>
      </c>
      <c r="B344" s="0" t="str">
        <f aca="false">IF(A344="","",'Deal Tracker'!C344&amp;"#"&amp;A344)</f>
        <v/>
      </c>
      <c r="C344" s="0" t="str">
        <f aca="false">IF('Deal Tracker'!B344="","",'Deal Tracker'!B344)</f>
        <v/>
      </c>
      <c r="D344" s="0" t="str">
        <f aca="false">IF('Deal Tracker'!B344="","",IF('Deal Tracker'!D344="","TBD","$"&amp;TEXT('Deal Tracker'!D344,"#,##0")&amp;"M"))</f>
        <v/>
      </c>
      <c r="E344" s="0" t="str">
        <f aca="false">IF('Deal Tracker'!B344="","",IF(AND(F344="",G344=""),"",F344&amp;IF(OR(F344="",G344=""),"","  ·  ")&amp;G344))</f>
        <v/>
      </c>
      <c r="F344" s="0" t="str">
        <f aca="false">IF('Deal Tracker'!F344="",IF('Deal Tracker'!G344="","",'Deal Tracker'!G344),'Deal Tracker'!F344&amp;IF('Deal Tracker'!G344="","",", "&amp;'Deal Tracker'!G344))</f>
        <v/>
      </c>
      <c r="G344" s="0" t="str">
        <f aca="false">IF('Deal Tracker'!H344="","","Target: "&amp;TEXT('Deal Tracker'!H344,"mmm yyyy"))</f>
        <v/>
      </c>
    </row>
    <row r="345" customFormat="false" ht="15" hidden="false" customHeight="false" outlineLevel="0" collapsed="false">
      <c r="A345" s="0" t="str">
        <f aca="false">IF('Deal Tracker'!C345="","",COUNTIF('Deal Tracker'!$C$2:C345,'Deal Tracker'!C345))</f>
        <v/>
      </c>
      <c r="B345" s="0" t="str">
        <f aca="false">IF(A345="","",'Deal Tracker'!C345&amp;"#"&amp;A345)</f>
        <v/>
      </c>
      <c r="C345" s="0" t="str">
        <f aca="false">IF('Deal Tracker'!B345="","",'Deal Tracker'!B345)</f>
        <v/>
      </c>
      <c r="D345" s="0" t="str">
        <f aca="false">IF('Deal Tracker'!B345="","",IF('Deal Tracker'!D345="","TBD","$"&amp;TEXT('Deal Tracker'!D345,"#,##0")&amp;"M"))</f>
        <v/>
      </c>
      <c r="E345" s="0" t="str">
        <f aca="false">IF('Deal Tracker'!B345="","",IF(AND(F345="",G345=""),"",F345&amp;IF(OR(F345="",G345=""),"","  ·  ")&amp;G345))</f>
        <v/>
      </c>
      <c r="F345" s="0" t="str">
        <f aca="false">IF('Deal Tracker'!F345="",IF('Deal Tracker'!G345="","",'Deal Tracker'!G345),'Deal Tracker'!F345&amp;IF('Deal Tracker'!G345="","",", "&amp;'Deal Tracker'!G345))</f>
        <v/>
      </c>
      <c r="G345" s="0" t="str">
        <f aca="false">IF('Deal Tracker'!H345="","","Target: "&amp;TEXT('Deal Tracker'!H345,"mmm yyyy"))</f>
        <v/>
      </c>
    </row>
    <row r="346" customFormat="false" ht="15" hidden="false" customHeight="false" outlineLevel="0" collapsed="false">
      <c r="A346" s="0" t="str">
        <f aca="false">IF('Deal Tracker'!C346="","",COUNTIF('Deal Tracker'!$C$2:C346,'Deal Tracker'!C346))</f>
        <v/>
      </c>
      <c r="B346" s="0" t="str">
        <f aca="false">IF(A346="","",'Deal Tracker'!C346&amp;"#"&amp;A346)</f>
        <v/>
      </c>
      <c r="C346" s="0" t="str">
        <f aca="false">IF('Deal Tracker'!B346="","",'Deal Tracker'!B346)</f>
        <v/>
      </c>
      <c r="D346" s="0" t="str">
        <f aca="false">IF('Deal Tracker'!B346="","",IF('Deal Tracker'!D346="","TBD","$"&amp;TEXT('Deal Tracker'!D346,"#,##0")&amp;"M"))</f>
        <v/>
      </c>
      <c r="E346" s="0" t="str">
        <f aca="false">IF('Deal Tracker'!B346="","",IF(AND(F346="",G346=""),"",F346&amp;IF(OR(F346="",G346=""),"","  ·  ")&amp;G346))</f>
        <v/>
      </c>
      <c r="F346" s="0" t="str">
        <f aca="false">IF('Deal Tracker'!F346="",IF('Deal Tracker'!G346="","",'Deal Tracker'!G346),'Deal Tracker'!F346&amp;IF('Deal Tracker'!G346="","",", "&amp;'Deal Tracker'!G346))</f>
        <v/>
      </c>
      <c r="G346" s="0" t="str">
        <f aca="false">IF('Deal Tracker'!H346="","","Target: "&amp;TEXT('Deal Tracker'!H346,"mmm yyyy"))</f>
        <v/>
      </c>
    </row>
    <row r="347" customFormat="false" ht="15" hidden="false" customHeight="false" outlineLevel="0" collapsed="false">
      <c r="A347" s="0" t="str">
        <f aca="false">IF('Deal Tracker'!C347="","",COUNTIF('Deal Tracker'!$C$2:C347,'Deal Tracker'!C347))</f>
        <v/>
      </c>
      <c r="B347" s="0" t="str">
        <f aca="false">IF(A347="","",'Deal Tracker'!C347&amp;"#"&amp;A347)</f>
        <v/>
      </c>
      <c r="C347" s="0" t="str">
        <f aca="false">IF('Deal Tracker'!B347="","",'Deal Tracker'!B347)</f>
        <v/>
      </c>
      <c r="D347" s="0" t="str">
        <f aca="false">IF('Deal Tracker'!B347="","",IF('Deal Tracker'!D347="","TBD","$"&amp;TEXT('Deal Tracker'!D347,"#,##0")&amp;"M"))</f>
        <v/>
      </c>
      <c r="E347" s="0" t="str">
        <f aca="false">IF('Deal Tracker'!B347="","",IF(AND(F347="",G347=""),"",F347&amp;IF(OR(F347="",G347=""),"","  ·  ")&amp;G347))</f>
        <v/>
      </c>
      <c r="F347" s="0" t="str">
        <f aca="false">IF('Deal Tracker'!F347="",IF('Deal Tracker'!G347="","",'Deal Tracker'!G347),'Deal Tracker'!F347&amp;IF('Deal Tracker'!G347="","",", "&amp;'Deal Tracker'!G347))</f>
        <v/>
      </c>
      <c r="G347" s="0" t="str">
        <f aca="false">IF('Deal Tracker'!H347="","","Target: "&amp;TEXT('Deal Tracker'!H347,"mmm yyyy"))</f>
        <v/>
      </c>
    </row>
    <row r="348" customFormat="false" ht="15" hidden="false" customHeight="false" outlineLevel="0" collapsed="false">
      <c r="A348" s="0" t="str">
        <f aca="false">IF('Deal Tracker'!C348="","",COUNTIF('Deal Tracker'!$C$2:C348,'Deal Tracker'!C348))</f>
        <v/>
      </c>
      <c r="B348" s="0" t="str">
        <f aca="false">IF(A348="","",'Deal Tracker'!C348&amp;"#"&amp;A348)</f>
        <v/>
      </c>
      <c r="C348" s="0" t="str">
        <f aca="false">IF('Deal Tracker'!B348="","",'Deal Tracker'!B348)</f>
        <v/>
      </c>
      <c r="D348" s="0" t="str">
        <f aca="false">IF('Deal Tracker'!B348="","",IF('Deal Tracker'!D348="","TBD","$"&amp;TEXT('Deal Tracker'!D348,"#,##0")&amp;"M"))</f>
        <v/>
      </c>
      <c r="E348" s="0" t="str">
        <f aca="false">IF('Deal Tracker'!B348="","",IF(AND(F348="",G348=""),"",F348&amp;IF(OR(F348="",G348=""),"","  ·  ")&amp;G348))</f>
        <v/>
      </c>
      <c r="F348" s="0" t="str">
        <f aca="false">IF('Deal Tracker'!F348="",IF('Deal Tracker'!G348="","",'Deal Tracker'!G348),'Deal Tracker'!F348&amp;IF('Deal Tracker'!G348="","",", "&amp;'Deal Tracker'!G348))</f>
        <v/>
      </c>
      <c r="G348" s="0" t="str">
        <f aca="false">IF('Deal Tracker'!H348="","","Target: "&amp;TEXT('Deal Tracker'!H348,"mmm yyyy"))</f>
        <v/>
      </c>
    </row>
    <row r="349" customFormat="false" ht="15" hidden="false" customHeight="false" outlineLevel="0" collapsed="false">
      <c r="A349" s="0" t="str">
        <f aca="false">IF('Deal Tracker'!C349="","",COUNTIF('Deal Tracker'!$C$2:C349,'Deal Tracker'!C349))</f>
        <v/>
      </c>
      <c r="B349" s="0" t="str">
        <f aca="false">IF(A349="","",'Deal Tracker'!C349&amp;"#"&amp;A349)</f>
        <v/>
      </c>
      <c r="C349" s="0" t="str">
        <f aca="false">IF('Deal Tracker'!B349="","",'Deal Tracker'!B349)</f>
        <v/>
      </c>
      <c r="D349" s="0" t="str">
        <f aca="false">IF('Deal Tracker'!B349="","",IF('Deal Tracker'!D349="","TBD","$"&amp;TEXT('Deal Tracker'!D349,"#,##0")&amp;"M"))</f>
        <v/>
      </c>
      <c r="E349" s="0" t="str">
        <f aca="false">IF('Deal Tracker'!B349="","",IF(AND(F349="",G349=""),"",F349&amp;IF(OR(F349="",G349=""),"","  ·  ")&amp;G349))</f>
        <v/>
      </c>
      <c r="F349" s="0" t="str">
        <f aca="false">IF('Deal Tracker'!F349="",IF('Deal Tracker'!G349="","",'Deal Tracker'!G349),'Deal Tracker'!F349&amp;IF('Deal Tracker'!G349="","",", "&amp;'Deal Tracker'!G349))</f>
        <v/>
      </c>
      <c r="G349" s="0" t="str">
        <f aca="false">IF('Deal Tracker'!H349="","","Target: "&amp;TEXT('Deal Tracker'!H349,"mmm yyyy"))</f>
        <v/>
      </c>
    </row>
    <row r="350" customFormat="false" ht="15" hidden="false" customHeight="false" outlineLevel="0" collapsed="false">
      <c r="A350" s="0" t="str">
        <f aca="false">IF('Deal Tracker'!C350="","",COUNTIF('Deal Tracker'!$C$2:C350,'Deal Tracker'!C350))</f>
        <v/>
      </c>
      <c r="B350" s="0" t="str">
        <f aca="false">IF(A350="","",'Deal Tracker'!C350&amp;"#"&amp;A350)</f>
        <v/>
      </c>
      <c r="C350" s="0" t="str">
        <f aca="false">IF('Deal Tracker'!B350="","",'Deal Tracker'!B350)</f>
        <v/>
      </c>
      <c r="D350" s="0" t="str">
        <f aca="false">IF('Deal Tracker'!B350="","",IF('Deal Tracker'!D350="","TBD","$"&amp;TEXT('Deal Tracker'!D350,"#,##0")&amp;"M"))</f>
        <v/>
      </c>
      <c r="E350" s="0" t="str">
        <f aca="false">IF('Deal Tracker'!B350="","",IF(AND(F350="",G350=""),"",F350&amp;IF(OR(F350="",G350=""),"","  ·  ")&amp;G350))</f>
        <v/>
      </c>
      <c r="F350" s="0" t="str">
        <f aca="false">IF('Deal Tracker'!F350="",IF('Deal Tracker'!G350="","",'Deal Tracker'!G350),'Deal Tracker'!F350&amp;IF('Deal Tracker'!G350="","",", "&amp;'Deal Tracker'!G350))</f>
        <v/>
      </c>
      <c r="G350" s="0" t="str">
        <f aca="false">IF('Deal Tracker'!H350="","","Target: "&amp;TEXT('Deal Tracker'!H350,"mmm yyyy"))</f>
        <v/>
      </c>
    </row>
    <row r="351" customFormat="false" ht="15" hidden="false" customHeight="false" outlineLevel="0" collapsed="false">
      <c r="A351" s="0" t="str">
        <f aca="false">IF('Deal Tracker'!C351="","",COUNTIF('Deal Tracker'!$C$2:C351,'Deal Tracker'!C351))</f>
        <v/>
      </c>
      <c r="B351" s="0" t="str">
        <f aca="false">IF(A351="","",'Deal Tracker'!C351&amp;"#"&amp;A351)</f>
        <v/>
      </c>
      <c r="C351" s="0" t="str">
        <f aca="false">IF('Deal Tracker'!B351="","",'Deal Tracker'!B351)</f>
        <v/>
      </c>
      <c r="D351" s="0" t="str">
        <f aca="false">IF('Deal Tracker'!B351="","",IF('Deal Tracker'!D351="","TBD","$"&amp;TEXT('Deal Tracker'!D351,"#,##0")&amp;"M"))</f>
        <v/>
      </c>
      <c r="E351" s="0" t="str">
        <f aca="false">IF('Deal Tracker'!B351="","",IF(AND(F351="",G351=""),"",F351&amp;IF(OR(F351="",G351=""),"","  ·  ")&amp;G351))</f>
        <v/>
      </c>
      <c r="F351" s="0" t="str">
        <f aca="false">IF('Deal Tracker'!F351="",IF('Deal Tracker'!G351="","",'Deal Tracker'!G351),'Deal Tracker'!F351&amp;IF('Deal Tracker'!G351="","",", "&amp;'Deal Tracker'!G351))</f>
        <v/>
      </c>
      <c r="G351" s="0" t="str">
        <f aca="false">IF('Deal Tracker'!H351="","","Target: "&amp;TEXT('Deal Tracker'!H351,"mmm yyyy"))</f>
        <v/>
      </c>
    </row>
    <row r="352" customFormat="false" ht="15" hidden="false" customHeight="false" outlineLevel="0" collapsed="false">
      <c r="A352" s="0" t="str">
        <f aca="false">IF('Deal Tracker'!C352="","",COUNTIF('Deal Tracker'!$C$2:C352,'Deal Tracker'!C352))</f>
        <v/>
      </c>
      <c r="B352" s="0" t="str">
        <f aca="false">IF(A352="","",'Deal Tracker'!C352&amp;"#"&amp;A352)</f>
        <v/>
      </c>
      <c r="C352" s="0" t="str">
        <f aca="false">IF('Deal Tracker'!B352="","",'Deal Tracker'!B352)</f>
        <v/>
      </c>
      <c r="D352" s="0" t="str">
        <f aca="false">IF('Deal Tracker'!B352="","",IF('Deal Tracker'!D352="","TBD","$"&amp;TEXT('Deal Tracker'!D352,"#,##0")&amp;"M"))</f>
        <v/>
      </c>
      <c r="E352" s="0" t="str">
        <f aca="false">IF('Deal Tracker'!B352="","",IF(AND(F352="",G352=""),"",F352&amp;IF(OR(F352="",G352=""),"","  ·  ")&amp;G352))</f>
        <v/>
      </c>
      <c r="F352" s="0" t="str">
        <f aca="false">IF('Deal Tracker'!F352="",IF('Deal Tracker'!G352="","",'Deal Tracker'!G352),'Deal Tracker'!F352&amp;IF('Deal Tracker'!G352="","",", "&amp;'Deal Tracker'!G352))</f>
        <v/>
      </c>
      <c r="G352" s="0" t="str">
        <f aca="false">IF('Deal Tracker'!H352="","","Target: "&amp;TEXT('Deal Tracker'!H352,"mmm yyyy"))</f>
        <v/>
      </c>
    </row>
    <row r="353" customFormat="false" ht="15" hidden="false" customHeight="false" outlineLevel="0" collapsed="false">
      <c r="A353" s="0" t="str">
        <f aca="false">IF('Deal Tracker'!C353="","",COUNTIF('Deal Tracker'!$C$2:C353,'Deal Tracker'!C353))</f>
        <v/>
      </c>
      <c r="B353" s="0" t="str">
        <f aca="false">IF(A353="","",'Deal Tracker'!C353&amp;"#"&amp;A353)</f>
        <v/>
      </c>
      <c r="C353" s="0" t="str">
        <f aca="false">IF('Deal Tracker'!B353="","",'Deal Tracker'!B353)</f>
        <v/>
      </c>
      <c r="D353" s="0" t="str">
        <f aca="false">IF('Deal Tracker'!B353="","",IF('Deal Tracker'!D353="","TBD","$"&amp;TEXT('Deal Tracker'!D353,"#,##0")&amp;"M"))</f>
        <v/>
      </c>
      <c r="E353" s="0" t="str">
        <f aca="false">IF('Deal Tracker'!B353="","",IF(AND(F353="",G353=""),"",F353&amp;IF(OR(F353="",G353=""),"","  ·  ")&amp;G353))</f>
        <v/>
      </c>
      <c r="F353" s="0" t="str">
        <f aca="false">IF('Deal Tracker'!F353="",IF('Deal Tracker'!G353="","",'Deal Tracker'!G353),'Deal Tracker'!F353&amp;IF('Deal Tracker'!G353="","",", "&amp;'Deal Tracker'!G353))</f>
        <v/>
      </c>
      <c r="G353" s="0" t="str">
        <f aca="false">IF('Deal Tracker'!H353="","","Target: "&amp;TEXT('Deal Tracker'!H353,"mmm yyyy"))</f>
        <v/>
      </c>
    </row>
    <row r="354" customFormat="false" ht="15" hidden="false" customHeight="false" outlineLevel="0" collapsed="false">
      <c r="A354" s="0" t="str">
        <f aca="false">IF('Deal Tracker'!C354="","",COUNTIF('Deal Tracker'!$C$2:C354,'Deal Tracker'!C354))</f>
        <v/>
      </c>
      <c r="B354" s="0" t="str">
        <f aca="false">IF(A354="","",'Deal Tracker'!C354&amp;"#"&amp;A354)</f>
        <v/>
      </c>
      <c r="C354" s="0" t="str">
        <f aca="false">IF('Deal Tracker'!B354="","",'Deal Tracker'!B354)</f>
        <v/>
      </c>
      <c r="D354" s="0" t="str">
        <f aca="false">IF('Deal Tracker'!B354="","",IF('Deal Tracker'!D354="","TBD","$"&amp;TEXT('Deal Tracker'!D354,"#,##0")&amp;"M"))</f>
        <v/>
      </c>
      <c r="E354" s="0" t="str">
        <f aca="false">IF('Deal Tracker'!B354="","",IF(AND(F354="",G354=""),"",F354&amp;IF(OR(F354="",G354=""),"","  ·  ")&amp;G354))</f>
        <v/>
      </c>
      <c r="F354" s="0" t="str">
        <f aca="false">IF('Deal Tracker'!F354="",IF('Deal Tracker'!G354="","",'Deal Tracker'!G354),'Deal Tracker'!F354&amp;IF('Deal Tracker'!G354="","",", "&amp;'Deal Tracker'!G354))</f>
        <v/>
      </c>
      <c r="G354" s="0" t="str">
        <f aca="false">IF('Deal Tracker'!H354="","","Target: "&amp;TEXT('Deal Tracker'!H354,"mmm yyyy"))</f>
        <v/>
      </c>
    </row>
    <row r="355" customFormat="false" ht="15" hidden="false" customHeight="false" outlineLevel="0" collapsed="false">
      <c r="A355" s="0" t="str">
        <f aca="false">IF('Deal Tracker'!C355="","",COUNTIF('Deal Tracker'!$C$2:C355,'Deal Tracker'!C355))</f>
        <v/>
      </c>
      <c r="B355" s="0" t="str">
        <f aca="false">IF(A355="","",'Deal Tracker'!C355&amp;"#"&amp;A355)</f>
        <v/>
      </c>
      <c r="C355" s="0" t="str">
        <f aca="false">IF('Deal Tracker'!B355="","",'Deal Tracker'!B355)</f>
        <v/>
      </c>
      <c r="D355" s="0" t="str">
        <f aca="false">IF('Deal Tracker'!B355="","",IF('Deal Tracker'!D355="","TBD","$"&amp;TEXT('Deal Tracker'!D355,"#,##0")&amp;"M"))</f>
        <v/>
      </c>
      <c r="E355" s="0" t="str">
        <f aca="false">IF('Deal Tracker'!B355="","",IF(AND(F355="",G355=""),"",F355&amp;IF(OR(F355="",G355=""),"","  ·  ")&amp;G355))</f>
        <v/>
      </c>
      <c r="F355" s="0" t="str">
        <f aca="false">IF('Deal Tracker'!F355="",IF('Deal Tracker'!G355="","",'Deal Tracker'!G355),'Deal Tracker'!F355&amp;IF('Deal Tracker'!G355="","",", "&amp;'Deal Tracker'!G355))</f>
        <v/>
      </c>
      <c r="G355" s="0" t="str">
        <f aca="false">IF('Deal Tracker'!H355="","","Target: "&amp;TEXT('Deal Tracker'!H355,"mmm yyyy"))</f>
        <v/>
      </c>
    </row>
    <row r="356" customFormat="false" ht="15" hidden="false" customHeight="false" outlineLevel="0" collapsed="false">
      <c r="A356" s="0" t="str">
        <f aca="false">IF('Deal Tracker'!C356="","",COUNTIF('Deal Tracker'!$C$2:C356,'Deal Tracker'!C356))</f>
        <v/>
      </c>
      <c r="B356" s="0" t="str">
        <f aca="false">IF(A356="","",'Deal Tracker'!C356&amp;"#"&amp;A356)</f>
        <v/>
      </c>
      <c r="C356" s="0" t="str">
        <f aca="false">IF('Deal Tracker'!B356="","",'Deal Tracker'!B356)</f>
        <v/>
      </c>
      <c r="D356" s="0" t="str">
        <f aca="false">IF('Deal Tracker'!B356="","",IF('Deal Tracker'!D356="","TBD","$"&amp;TEXT('Deal Tracker'!D356,"#,##0")&amp;"M"))</f>
        <v/>
      </c>
      <c r="E356" s="0" t="str">
        <f aca="false">IF('Deal Tracker'!B356="","",IF(AND(F356="",G356=""),"",F356&amp;IF(OR(F356="",G356=""),"","  ·  ")&amp;G356))</f>
        <v/>
      </c>
      <c r="F356" s="0" t="str">
        <f aca="false">IF('Deal Tracker'!F356="",IF('Deal Tracker'!G356="","",'Deal Tracker'!G356),'Deal Tracker'!F356&amp;IF('Deal Tracker'!G356="","",", "&amp;'Deal Tracker'!G356))</f>
        <v/>
      </c>
      <c r="G356" s="0" t="str">
        <f aca="false">IF('Deal Tracker'!H356="","","Target: "&amp;TEXT('Deal Tracker'!H356,"mmm yyyy"))</f>
        <v/>
      </c>
    </row>
    <row r="357" customFormat="false" ht="15" hidden="false" customHeight="false" outlineLevel="0" collapsed="false">
      <c r="A357" s="0" t="str">
        <f aca="false">IF('Deal Tracker'!C357="","",COUNTIF('Deal Tracker'!$C$2:C357,'Deal Tracker'!C357))</f>
        <v/>
      </c>
      <c r="B357" s="0" t="str">
        <f aca="false">IF(A357="","",'Deal Tracker'!C357&amp;"#"&amp;A357)</f>
        <v/>
      </c>
      <c r="C357" s="0" t="str">
        <f aca="false">IF('Deal Tracker'!B357="","",'Deal Tracker'!B357)</f>
        <v/>
      </c>
      <c r="D357" s="0" t="str">
        <f aca="false">IF('Deal Tracker'!B357="","",IF('Deal Tracker'!D357="","TBD","$"&amp;TEXT('Deal Tracker'!D357,"#,##0")&amp;"M"))</f>
        <v/>
      </c>
      <c r="E357" s="0" t="str">
        <f aca="false">IF('Deal Tracker'!B357="","",IF(AND(F357="",G357=""),"",F357&amp;IF(OR(F357="",G357=""),"","  ·  ")&amp;G357))</f>
        <v/>
      </c>
      <c r="F357" s="0" t="str">
        <f aca="false">IF('Deal Tracker'!F357="",IF('Deal Tracker'!G357="","",'Deal Tracker'!G357),'Deal Tracker'!F357&amp;IF('Deal Tracker'!G357="","",", "&amp;'Deal Tracker'!G357))</f>
        <v/>
      </c>
      <c r="G357" s="0" t="str">
        <f aca="false">IF('Deal Tracker'!H357="","","Target: "&amp;TEXT('Deal Tracker'!H357,"mmm yyyy"))</f>
        <v/>
      </c>
    </row>
    <row r="358" customFormat="false" ht="15" hidden="false" customHeight="false" outlineLevel="0" collapsed="false">
      <c r="A358" s="0" t="str">
        <f aca="false">IF('Deal Tracker'!C358="","",COUNTIF('Deal Tracker'!$C$2:C358,'Deal Tracker'!C358))</f>
        <v/>
      </c>
      <c r="B358" s="0" t="str">
        <f aca="false">IF(A358="","",'Deal Tracker'!C358&amp;"#"&amp;A358)</f>
        <v/>
      </c>
      <c r="C358" s="0" t="str">
        <f aca="false">IF('Deal Tracker'!B358="","",'Deal Tracker'!B358)</f>
        <v/>
      </c>
      <c r="D358" s="0" t="str">
        <f aca="false">IF('Deal Tracker'!B358="","",IF('Deal Tracker'!D358="","TBD","$"&amp;TEXT('Deal Tracker'!D358,"#,##0")&amp;"M"))</f>
        <v/>
      </c>
      <c r="E358" s="0" t="str">
        <f aca="false">IF('Deal Tracker'!B358="","",IF(AND(F358="",G358=""),"",F358&amp;IF(OR(F358="",G358=""),"","  ·  ")&amp;G358))</f>
        <v/>
      </c>
      <c r="F358" s="0" t="str">
        <f aca="false">IF('Deal Tracker'!F358="",IF('Deal Tracker'!G358="","",'Deal Tracker'!G358),'Deal Tracker'!F358&amp;IF('Deal Tracker'!G358="","",", "&amp;'Deal Tracker'!G358))</f>
        <v/>
      </c>
      <c r="G358" s="0" t="str">
        <f aca="false">IF('Deal Tracker'!H358="","","Target: "&amp;TEXT('Deal Tracker'!H358,"mmm yyyy"))</f>
        <v/>
      </c>
    </row>
    <row r="359" customFormat="false" ht="15" hidden="false" customHeight="false" outlineLevel="0" collapsed="false">
      <c r="A359" s="0" t="str">
        <f aca="false">IF('Deal Tracker'!C359="","",COUNTIF('Deal Tracker'!$C$2:C359,'Deal Tracker'!C359))</f>
        <v/>
      </c>
      <c r="B359" s="0" t="str">
        <f aca="false">IF(A359="","",'Deal Tracker'!C359&amp;"#"&amp;A359)</f>
        <v/>
      </c>
      <c r="C359" s="0" t="str">
        <f aca="false">IF('Deal Tracker'!B359="","",'Deal Tracker'!B359)</f>
        <v/>
      </c>
      <c r="D359" s="0" t="str">
        <f aca="false">IF('Deal Tracker'!B359="","",IF('Deal Tracker'!D359="","TBD","$"&amp;TEXT('Deal Tracker'!D359,"#,##0")&amp;"M"))</f>
        <v/>
      </c>
      <c r="E359" s="0" t="str">
        <f aca="false">IF('Deal Tracker'!B359="","",IF(AND(F359="",G359=""),"",F359&amp;IF(OR(F359="",G359=""),"","  ·  ")&amp;G359))</f>
        <v/>
      </c>
      <c r="F359" s="0" t="str">
        <f aca="false">IF('Deal Tracker'!F359="",IF('Deal Tracker'!G359="","",'Deal Tracker'!G359),'Deal Tracker'!F359&amp;IF('Deal Tracker'!G359="","",", "&amp;'Deal Tracker'!G359))</f>
        <v/>
      </c>
      <c r="G359" s="0" t="str">
        <f aca="false">IF('Deal Tracker'!H359="","","Target: "&amp;TEXT('Deal Tracker'!H359,"mmm yyyy"))</f>
        <v/>
      </c>
    </row>
    <row r="360" customFormat="false" ht="15" hidden="false" customHeight="false" outlineLevel="0" collapsed="false">
      <c r="A360" s="0" t="str">
        <f aca="false">IF('Deal Tracker'!C360="","",COUNTIF('Deal Tracker'!$C$2:C360,'Deal Tracker'!C360))</f>
        <v/>
      </c>
      <c r="B360" s="0" t="str">
        <f aca="false">IF(A360="","",'Deal Tracker'!C360&amp;"#"&amp;A360)</f>
        <v/>
      </c>
      <c r="C360" s="0" t="str">
        <f aca="false">IF('Deal Tracker'!B360="","",'Deal Tracker'!B360)</f>
        <v/>
      </c>
      <c r="D360" s="0" t="str">
        <f aca="false">IF('Deal Tracker'!B360="","",IF('Deal Tracker'!D360="","TBD","$"&amp;TEXT('Deal Tracker'!D360,"#,##0")&amp;"M"))</f>
        <v/>
      </c>
      <c r="E360" s="0" t="str">
        <f aca="false">IF('Deal Tracker'!B360="","",IF(AND(F360="",G360=""),"",F360&amp;IF(OR(F360="",G360=""),"","  ·  ")&amp;G360))</f>
        <v/>
      </c>
      <c r="F360" s="0" t="str">
        <f aca="false">IF('Deal Tracker'!F360="",IF('Deal Tracker'!G360="","",'Deal Tracker'!G360),'Deal Tracker'!F360&amp;IF('Deal Tracker'!G360="","",", "&amp;'Deal Tracker'!G360))</f>
        <v/>
      </c>
      <c r="G360" s="0" t="str">
        <f aca="false">IF('Deal Tracker'!H360="","","Target: "&amp;TEXT('Deal Tracker'!H360,"mmm yyyy"))</f>
        <v/>
      </c>
    </row>
    <row r="361" customFormat="false" ht="15" hidden="false" customHeight="false" outlineLevel="0" collapsed="false">
      <c r="A361" s="0" t="str">
        <f aca="false">IF('Deal Tracker'!C361="","",COUNTIF('Deal Tracker'!$C$2:C361,'Deal Tracker'!C361))</f>
        <v/>
      </c>
      <c r="B361" s="0" t="str">
        <f aca="false">IF(A361="","",'Deal Tracker'!C361&amp;"#"&amp;A361)</f>
        <v/>
      </c>
      <c r="C361" s="0" t="str">
        <f aca="false">IF('Deal Tracker'!B361="","",'Deal Tracker'!B361)</f>
        <v/>
      </c>
      <c r="D361" s="0" t="str">
        <f aca="false">IF('Deal Tracker'!B361="","",IF('Deal Tracker'!D361="","TBD","$"&amp;TEXT('Deal Tracker'!D361,"#,##0")&amp;"M"))</f>
        <v/>
      </c>
      <c r="E361" s="0" t="str">
        <f aca="false">IF('Deal Tracker'!B361="","",IF(AND(F361="",G361=""),"",F361&amp;IF(OR(F361="",G361=""),"","  ·  ")&amp;G361))</f>
        <v/>
      </c>
      <c r="F361" s="0" t="str">
        <f aca="false">IF('Deal Tracker'!F361="",IF('Deal Tracker'!G361="","",'Deal Tracker'!G361),'Deal Tracker'!F361&amp;IF('Deal Tracker'!G361="","",", "&amp;'Deal Tracker'!G361))</f>
        <v/>
      </c>
      <c r="G361" s="0" t="str">
        <f aca="false">IF('Deal Tracker'!H361="","","Target: "&amp;TEXT('Deal Tracker'!H361,"mmm yyyy"))</f>
        <v/>
      </c>
    </row>
    <row r="362" customFormat="false" ht="15" hidden="false" customHeight="false" outlineLevel="0" collapsed="false">
      <c r="A362" s="0" t="str">
        <f aca="false">IF('Deal Tracker'!C362="","",COUNTIF('Deal Tracker'!$C$2:C362,'Deal Tracker'!C362))</f>
        <v/>
      </c>
      <c r="B362" s="0" t="str">
        <f aca="false">IF(A362="","",'Deal Tracker'!C362&amp;"#"&amp;A362)</f>
        <v/>
      </c>
      <c r="C362" s="0" t="str">
        <f aca="false">IF('Deal Tracker'!B362="","",'Deal Tracker'!B362)</f>
        <v/>
      </c>
      <c r="D362" s="0" t="str">
        <f aca="false">IF('Deal Tracker'!B362="","",IF('Deal Tracker'!D362="","TBD","$"&amp;TEXT('Deal Tracker'!D362,"#,##0")&amp;"M"))</f>
        <v/>
      </c>
      <c r="E362" s="0" t="str">
        <f aca="false">IF('Deal Tracker'!B362="","",IF(AND(F362="",G362=""),"",F362&amp;IF(OR(F362="",G362=""),"","  ·  ")&amp;G362))</f>
        <v/>
      </c>
      <c r="F362" s="0" t="str">
        <f aca="false">IF('Deal Tracker'!F362="",IF('Deal Tracker'!G362="","",'Deal Tracker'!G362),'Deal Tracker'!F362&amp;IF('Deal Tracker'!G362="","",", "&amp;'Deal Tracker'!G362))</f>
        <v/>
      </c>
      <c r="G362" s="0" t="str">
        <f aca="false">IF('Deal Tracker'!H362="","","Target: "&amp;TEXT('Deal Tracker'!H362,"mmm yyyy"))</f>
        <v/>
      </c>
    </row>
    <row r="363" customFormat="false" ht="15" hidden="false" customHeight="false" outlineLevel="0" collapsed="false">
      <c r="A363" s="0" t="str">
        <f aca="false">IF('Deal Tracker'!C363="","",COUNTIF('Deal Tracker'!$C$2:C363,'Deal Tracker'!C363))</f>
        <v/>
      </c>
      <c r="B363" s="0" t="str">
        <f aca="false">IF(A363="","",'Deal Tracker'!C363&amp;"#"&amp;A363)</f>
        <v/>
      </c>
      <c r="C363" s="0" t="str">
        <f aca="false">IF('Deal Tracker'!B363="","",'Deal Tracker'!B363)</f>
        <v/>
      </c>
      <c r="D363" s="0" t="str">
        <f aca="false">IF('Deal Tracker'!B363="","",IF('Deal Tracker'!D363="","TBD","$"&amp;TEXT('Deal Tracker'!D363,"#,##0")&amp;"M"))</f>
        <v/>
      </c>
      <c r="E363" s="0" t="str">
        <f aca="false">IF('Deal Tracker'!B363="","",IF(AND(F363="",G363=""),"",F363&amp;IF(OR(F363="",G363=""),"","  ·  ")&amp;G363))</f>
        <v/>
      </c>
      <c r="F363" s="0" t="str">
        <f aca="false">IF('Deal Tracker'!F363="",IF('Deal Tracker'!G363="","",'Deal Tracker'!G363),'Deal Tracker'!F363&amp;IF('Deal Tracker'!G363="","",", "&amp;'Deal Tracker'!G363))</f>
        <v/>
      </c>
      <c r="G363" s="0" t="str">
        <f aca="false">IF('Deal Tracker'!H363="","","Target: "&amp;TEXT('Deal Tracker'!H363,"mmm yyyy"))</f>
        <v/>
      </c>
    </row>
    <row r="364" customFormat="false" ht="15" hidden="false" customHeight="false" outlineLevel="0" collapsed="false">
      <c r="A364" s="0" t="str">
        <f aca="false">IF('Deal Tracker'!C364="","",COUNTIF('Deal Tracker'!$C$2:C364,'Deal Tracker'!C364))</f>
        <v/>
      </c>
      <c r="B364" s="0" t="str">
        <f aca="false">IF(A364="","",'Deal Tracker'!C364&amp;"#"&amp;A364)</f>
        <v/>
      </c>
      <c r="C364" s="0" t="str">
        <f aca="false">IF('Deal Tracker'!B364="","",'Deal Tracker'!B364)</f>
        <v/>
      </c>
      <c r="D364" s="0" t="str">
        <f aca="false">IF('Deal Tracker'!B364="","",IF('Deal Tracker'!D364="","TBD","$"&amp;TEXT('Deal Tracker'!D364,"#,##0")&amp;"M"))</f>
        <v/>
      </c>
      <c r="E364" s="0" t="str">
        <f aca="false">IF('Deal Tracker'!B364="","",IF(AND(F364="",G364=""),"",F364&amp;IF(OR(F364="",G364=""),"","  ·  ")&amp;G364))</f>
        <v/>
      </c>
      <c r="F364" s="0" t="str">
        <f aca="false">IF('Deal Tracker'!F364="",IF('Deal Tracker'!G364="","",'Deal Tracker'!G364),'Deal Tracker'!F364&amp;IF('Deal Tracker'!G364="","",", "&amp;'Deal Tracker'!G364))</f>
        <v/>
      </c>
      <c r="G364" s="0" t="str">
        <f aca="false">IF('Deal Tracker'!H364="","","Target: "&amp;TEXT('Deal Tracker'!H364,"mmm yyyy"))</f>
        <v/>
      </c>
    </row>
    <row r="365" customFormat="false" ht="15" hidden="false" customHeight="false" outlineLevel="0" collapsed="false">
      <c r="A365" s="0" t="str">
        <f aca="false">IF('Deal Tracker'!C365="","",COUNTIF('Deal Tracker'!$C$2:C365,'Deal Tracker'!C365))</f>
        <v/>
      </c>
      <c r="B365" s="0" t="str">
        <f aca="false">IF(A365="","",'Deal Tracker'!C365&amp;"#"&amp;A365)</f>
        <v/>
      </c>
      <c r="C365" s="0" t="str">
        <f aca="false">IF('Deal Tracker'!B365="","",'Deal Tracker'!B365)</f>
        <v/>
      </c>
      <c r="D365" s="0" t="str">
        <f aca="false">IF('Deal Tracker'!B365="","",IF('Deal Tracker'!D365="","TBD","$"&amp;TEXT('Deal Tracker'!D365,"#,##0")&amp;"M"))</f>
        <v/>
      </c>
      <c r="E365" s="0" t="str">
        <f aca="false">IF('Deal Tracker'!B365="","",IF(AND(F365="",G365=""),"",F365&amp;IF(OR(F365="",G365=""),"","  ·  ")&amp;G365))</f>
        <v/>
      </c>
      <c r="F365" s="0" t="str">
        <f aca="false">IF('Deal Tracker'!F365="",IF('Deal Tracker'!G365="","",'Deal Tracker'!G365),'Deal Tracker'!F365&amp;IF('Deal Tracker'!G365="","",", "&amp;'Deal Tracker'!G365))</f>
        <v/>
      </c>
      <c r="G365" s="0" t="str">
        <f aca="false">IF('Deal Tracker'!H365="","","Target: "&amp;TEXT('Deal Tracker'!H365,"mmm yyyy"))</f>
        <v/>
      </c>
    </row>
    <row r="366" customFormat="false" ht="15" hidden="false" customHeight="false" outlineLevel="0" collapsed="false">
      <c r="A366" s="0" t="str">
        <f aca="false">IF('Deal Tracker'!C366="","",COUNTIF('Deal Tracker'!$C$2:C366,'Deal Tracker'!C366))</f>
        <v/>
      </c>
      <c r="B366" s="0" t="str">
        <f aca="false">IF(A366="","",'Deal Tracker'!C366&amp;"#"&amp;A366)</f>
        <v/>
      </c>
      <c r="C366" s="0" t="str">
        <f aca="false">IF('Deal Tracker'!B366="","",'Deal Tracker'!B366)</f>
        <v/>
      </c>
      <c r="D366" s="0" t="str">
        <f aca="false">IF('Deal Tracker'!B366="","",IF('Deal Tracker'!D366="","TBD","$"&amp;TEXT('Deal Tracker'!D366,"#,##0")&amp;"M"))</f>
        <v/>
      </c>
      <c r="E366" s="0" t="str">
        <f aca="false">IF('Deal Tracker'!B366="","",IF(AND(F366="",G366=""),"",F366&amp;IF(OR(F366="",G366=""),"","  ·  ")&amp;G366))</f>
        <v/>
      </c>
      <c r="F366" s="0" t="str">
        <f aca="false">IF('Deal Tracker'!F366="",IF('Deal Tracker'!G366="","",'Deal Tracker'!G366),'Deal Tracker'!F366&amp;IF('Deal Tracker'!G366="","",", "&amp;'Deal Tracker'!G366))</f>
        <v/>
      </c>
      <c r="G366" s="0" t="str">
        <f aca="false">IF('Deal Tracker'!H366="","","Target: "&amp;TEXT('Deal Tracker'!H366,"mmm yyyy"))</f>
        <v/>
      </c>
    </row>
    <row r="367" customFormat="false" ht="15" hidden="false" customHeight="false" outlineLevel="0" collapsed="false">
      <c r="A367" s="0" t="str">
        <f aca="false">IF('Deal Tracker'!C367="","",COUNTIF('Deal Tracker'!$C$2:C367,'Deal Tracker'!C367))</f>
        <v/>
      </c>
      <c r="B367" s="0" t="str">
        <f aca="false">IF(A367="","",'Deal Tracker'!C367&amp;"#"&amp;A367)</f>
        <v/>
      </c>
      <c r="C367" s="0" t="str">
        <f aca="false">IF('Deal Tracker'!B367="","",'Deal Tracker'!B367)</f>
        <v/>
      </c>
      <c r="D367" s="0" t="str">
        <f aca="false">IF('Deal Tracker'!B367="","",IF('Deal Tracker'!D367="","TBD","$"&amp;TEXT('Deal Tracker'!D367,"#,##0")&amp;"M"))</f>
        <v/>
      </c>
      <c r="E367" s="0" t="str">
        <f aca="false">IF('Deal Tracker'!B367="","",IF(AND(F367="",G367=""),"",F367&amp;IF(OR(F367="",G367=""),"","  ·  ")&amp;G367))</f>
        <v/>
      </c>
      <c r="F367" s="0" t="str">
        <f aca="false">IF('Deal Tracker'!F367="",IF('Deal Tracker'!G367="","",'Deal Tracker'!G367),'Deal Tracker'!F367&amp;IF('Deal Tracker'!G367="","",", "&amp;'Deal Tracker'!G367))</f>
        <v/>
      </c>
      <c r="G367" s="0" t="str">
        <f aca="false">IF('Deal Tracker'!H367="","","Target: "&amp;TEXT('Deal Tracker'!H367,"mmm yyyy"))</f>
        <v/>
      </c>
    </row>
    <row r="368" customFormat="false" ht="15" hidden="false" customHeight="false" outlineLevel="0" collapsed="false">
      <c r="A368" s="0" t="str">
        <f aca="false">IF('Deal Tracker'!C368="","",COUNTIF('Deal Tracker'!$C$2:C368,'Deal Tracker'!C368))</f>
        <v/>
      </c>
      <c r="B368" s="0" t="str">
        <f aca="false">IF(A368="","",'Deal Tracker'!C368&amp;"#"&amp;A368)</f>
        <v/>
      </c>
      <c r="C368" s="0" t="str">
        <f aca="false">IF('Deal Tracker'!B368="","",'Deal Tracker'!B368)</f>
        <v/>
      </c>
      <c r="D368" s="0" t="str">
        <f aca="false">IF('Deal Tracker'!B368="","",IF('Deal Tracker'!D368="","TBD","$"&amp;TEXT('Deal Tracker'!D368,"#,##0")&amp;"M"))</f>
        <v/>
      </c>
      <c r="E368" s="0" t="str">
        <f aca="false">IF('Deal Tracker'!B368="","",IF(AND(F368="",G368=""),"",F368&amp;IF(OR(F368="",G368=""),"","  ·  ")&amp;G368))</f>
        <v/>
      </c>
      <c r="F368" s="0" t="str">
        <f aca="false">IF('Deal Tracker'!F368="",IF('Deal Tracker'!G368="","",'Deal Tracker'!G368),'Deal Tracker'!F368&amp;IF('Deal Tracker'!G368="","",", "&amp;'Deal Tracker'!G368))</f>
        <v/>
      </c>
      <c r="G368" s="0" t="str">
        <f aca="false">IF('Deal Tracker'!H368="","","Target: "&amp;TEXT('Deal Tracker'!H368,"mmm yyyy"))</f>
        <v/>
      </c>
    </row>
    <row r="369" customFormat="false" ht="15" hidden="false" customHeight="false" outlineLevel="0" collapsed="false">
      <c r="A369" s="0" t="str">
        <f aca="false">IF('Deal Tracker'!C369="","",COUNTIF('Deal Tracker'!$C$2:C369,'Deal Tracker'!C369))</f>
        <v/>
      </c>
      <c r="B369" s="0" t="str">
        <f aca="false">IF(A369="","",'Deal Tracker'!C369&amp;"#"&amp;A369)</f>
        <v/>
      </c>
      <c r="C369" s="0" t="str">
        <f aca="false">IF('Deal Tracker'!B369="","",'Deal Tracker'!B369)</f>
        <v/>
      </c>
      <c r="D369" s="0" t="str">
        <f aca="false">IF('Deal Tracker'!B369="","",IF('Deal Tracker'!D369="","TBD","$"&amp;TEXT('Deal Tracker'!D369,"#,##0")&amp;"M"))</f>
        <v/>
      </c>
      <c r="E369" s="0" t="str">
        <f aca="false">IF('Deal Tracker'!B369="","",IF(AND(F369="",G369=""),"",F369&amp;IF(OR(F369="",G369=""),"","  ·  ")&amp;G369))</f>
        <v/>
      </c>
      <c r="F369" s="0" t="str">
        <f aca="false">IF('Deal Tracker'!F369="",IF('Deal Tracker'!G369="","",'Deal Tracker'!G369),'Deal Tracker'!F369&amp;IF('Deal Tracker'!G369="","",", "&amp;'Deal Tracker'!G369))</f>
        <v/>
      </c>
      <c r="G369" s="0" t="str">
        <f aca="false">IF('Deal Tracker'!H369="","","Target: "&amp;TEXT('Deal Tracker'!H369,"mmm yyyy"))</f>
        <v/>
      </c>
    </row>
    <row r="370" customFormat="false" ht="15" hidden="false" customHeight="false" outlineLevel="0" collapsed="false">
      <c r="A370" s="0" t="str">
        <f aca="false">IF('Deal Tracker'!C370="","",COUNTIF('Deal Tracker'!$C$2:C370,'Deal Tracker'!C370))</f>
        <v/>
      </c>
      <c r="B370" s="0" t="str">
        <f aca="false">IF(A370="","",'Deal Tracker'!C370&amp;"#"&amp;A370)</f>
        <v/>
      </c>
      <c r="C370" s="0" t="str">
        <f aca="false">IF('Deal Tracker'!B370="","",'Deal Tracker'!B370)</f>
        <v/>
      </c>
      <c r="D370" s="0" t="str">
        <f aca="false">IF('Deal Tracker'!B370="","",IF('Deal Tracker'!D370="","TBD","$"&amp;TEXT('Deal Tracker'!D370,"#,##0")&amp;"M"))</f>
        <v/>
      </c>
      <c r="E370" s="0" t="str">
        <f aca="false">IF('Deal Tracker'!B370="","",IF(AND(F370="",G370=""),"",F370&amp;IF(OR(F370="",G370=""),"","  ·  ")&amp;G370))</f>
        <v/>
      </c>
      <c r="F370" s="0" t="str">
        <f aca="false">IF('Deal Tracker'!F370="",IF('Deal Tracker'!G370="","",'Deal Tracker'!G370),'Deal Tracker'!F370&amp;IF('Deal Tracker'!G370="","",", "&amp;'Deal Tracker'!G370))</f>
        <v/>
      </c>
      <c r="G370" s="0" t="str">
        <f aca="false">IF('Deal Tracker'!H370="","","Target: "&amp;TEXT('Deal Tracker'!H370,"mmm yyyy"))</f>
        <v/>
      </c>
    </row>
    <row r="371" customFormat="false" ht="15" hidden="false" customHeight="false" outlineLevel="0" collapsed="false">
      <c r="A371" s="0" t="str">
        <f aca="false">IF('Deal Tracker'!C371="","",COUNTIF('Deal Tracker'!$C$2:C371,'Deal Tracker'!C371))</f>
        <v/>
      </c>
      <c r="B371" s="0" t="str">
        <f aca="false">IF(A371="","",'Deal Tracker'!C371&amp;"#"&amp;A371)</f>
        <v/>
      </c>
      <c r="C371" s="0" t="str">
        <f aca="false">IF('Deal Tracker'!B371="","",'Deal Tracker'!B371)</f>
        <v/>
      </c>
      <c r="D371" s="0" t="str">
        <f aca="false">IF('Deal Tracker'!B371="","",IF('Deal Tracker'!D371="","TBD","$"&amp;TEXT('Deal Tracker'!D371,"#,##0")&amp;"M"))</f>
        <v/>
      </c>
      <c r="E371" s="0" t="str">
        <f aca="false">IF('Deal Tracker'!B371="","",IF(AND(F371="",G371=""),"",F371&amp;IF(OR(F371="",G371=""),"","  ·  ")&amp;G371))</f>
        <v/>
      </c>
      <c r="F371" s="0" t="str">
        <f aca="false">IF('Deal Tracker'!F371="",IF('Deal Tracker'!G371="","",'Deal Tracker'!G371),'Deal Tracker'!F371&amp;IF('Deal Tracker'!G371="","",", "&amp;'Deal Tracker'!G371))</f>
        <v/>
      </c>
      <c r="G371" s="0" t="str">
        <f aca="false">IF('Deal Tracker'!H371="","","Target: "&amp;TEXT('Deal Tracker'!H371,"mmm yyyy"))</f>
        <v/>
      </c>
    </row>
    <row r="372" customFormat="false" ht="15" hidden="false" customHeight="false" outlineLevel="0" collapsed="false">
      <c r="A372" s="0" t="str">
        <f aca="false">IF('Deal Tracker'!C372="","",COUNTIF('Deal Tracker'!$C$2:C372,'Deal Tracker'!C372))</f>
        <v/>
      </c>
      <c r="B372" s="0" t="str">
        <f aca="false">IF(A372="","",'Deal Tracker'!C372&amp;"#"&amp;A372)</f>
        <v/>
      </c>
      <c r="C372" s="0" t="str">
        <f aca="false">IF('Deal Tracker'!B372="","",'Deal Tracker'!B372)</f>
        <v/>
      </c>
      <c r="D372" s="0" t="str">
        <f aca="false">IF('Deal Tracker'!B372="","",IF('Deal Tracker'!D372="","TBD","$"&amp;TEXT('Deal Tracker'!D372,"#,##0")&amp;"M"))</f>
        <v/>
      </c>
      <c r="E372" s="0" t="str">
        <f aca="false">IF('Deal Tracker'!B372="","",IF(AND(F372="",G372=""),"",F372&amp;IF(OR(F372="",G372=""),"","  ·  ")&amp;G372))</f>
        <v/>
      </c>
      <c r="F372" s="0" t="str">
        <f aca="false">IF('Deal Tracker'!F372="",IF('Deal Tracker'!G372="","",'Deal Tracker'!G372),'Deal Tracker'!F372&amp;IF('Deal Tracker'!G372="","",", "&amp;'Deal Tracker'!G372))</f>
        <v/>
      </c>
      <c r="G372" s="0" t="str">
        <f aca="false">IF('Deal Tracker'!H372="","","Target: "&amp;TEXT('Deal Tracker'!H372,"mmm yyyy"))</f>
        <v/>
      </c>
    </row>
    <row r="373" customFormat="false" ht="15" hidden="false" customHeight="false" outlineLevel="0" collapsed="false">
      <c r="A373" s="0" t="str">
        <f aca="false">IF('Deal Tracker'!C373="","",COUNTIF('Deal Tracker'!$C$2:C373,'Deal Tracker'!C373))</f>
        <v/>
      </c>
      <c r="B373" s="0" t="str">
        <f aca="false">IF(A373="","",'Deal Tracker'!C373&amp;"#"&amp;A373)</f>
        <v/>
      </c>
      <c r="C373" s="0" t="str">
        <f aca="false">IF('Deal Tracker'!B373="","",'Deal Tracker'!B373)</f>
        <v/>
      </c>
      <c r="D373" s="0" t="str">
        <f aca="false">IF('Deal Tracker'!B373="","",IF('Deal Tracker'!D373="","TBD","$"&amp;TEXT('Deal Tracker'!D373,"#,##0")&amp;"M"))</f>
        <v/>
      </c>
      <c r="E373" s="0" t="str">
        <f aca="false">IF('Deal Tracker'!B373="","",IF(AND(F373="",G373=""),"",F373&amp;IF(OR(F373="",G373=""),"","  ·  ")&amp;G373))</f>
        <v/>
      </c>
      <c r="F373" s="0" t="str">
        <f aca="false">IF('Deal Tracker'!F373="",IF('Deal Tracker'!G373="","",'Deal Tracker'!G373),'Deal Tracker'!F373&amp;IF('Deal Tracker'!G373="","",", "&amp;'Deal Tracker'!G373))</f>
        <v/>
      </c>
      <c r="G373" s="0" t="str">
        <f aca="false">IF('Deal Tracker'!H373="","","Target: "&amp;TEXT('Deal Tracker'!H373,"mmm yyyy"))</f>
        <v/>
      </c>
    </row>
    <row r="374" customFormat="false" ht="15" hidden="false" customHeight="false" outlineLevel="0" collapsed="false">
      <c r="A374" s="0" t="str">
        <f aca="false">IF('Deal Tracker'!C374="","",COUNTIF('Deal Tracker'!$C$2:C374,'Deal Tracker'!C374))</f>
        <v/>
      </c>
      <c r="B374" s="0" t="str">
        <f aca="false">IF(A374="","",'Deal Tracker'!C374&amp;"#"&amp;A374)</f>
        <v/>
      </c>
      <c r="C374" s="0" t="str">
        <f aca="false">IF('Deal Tracker'!B374="","",'Deal Tracker'!B374)</f>
        <v/>
      </c>
      <c r="D374" s="0" t="str">
        <f aca="false">IF('Deal Tracker'!B374="","",IF('Deal Tracker'!D374="","TBD","$"&amp;TEXT('Deal Tracker'!D374,"#,##0")&amp;"M"))</f>
        <v/>
      </c>
      <c r="E374" s="0" t="str">
        <f aca="false">IF('Deal Tracker'!B374="","",IF(AND(F374="",G374=""),"",F374&amp;IF(OR(F374="",G374=""),"","  ·  ")&amp;G374))</f>
        <v/>
      </c>
      <c r="F374" s="0" t="str">
        <f aca="false">IF('Deal Tracker'!F374="",IF('Deal Tracker'!G374="","",'Deal Tracker'!G374),'Deal Tracker'!F374&amp;IF('Deal Tracker'!G374="","",", "&amp;'Deal Tracker'!G374))</f>
        <v/>
      </c>
      <c r="G374" s="0" t="str">
        <f aca="false">IF('Deal Tracker'!H374="","","Target: "&amp;TEXT('Deal Tracker'!H374,"mmm yyyy"))</f>
        <v/>
      </c>
    </row>
    <row r="375" customFormat="false" ht="15" hidden="false" customHeight="false" outlineLevel="0" collapsed="false">
      <c r="A375" s="0" t="str">
        <f aca="false">IF('Deal Tracker'!C375="","",COUNTIF('Deal Tracker'!$C$2:C375,'Deal Tracker'!C375))</f>
        <v/>
      </c>
      <c r="B375" s="0" t="str">
        <f aca="false">IF(A375="","",'Deal Tracker'!C375&amp;"#"&amp;A375)</f>
        <v/>
      </c>
      <c r="C375" s="0" t="str">
        <f aca="false">IF('Deal Tracker'!B375="","",'Deal Tracker'!B375)</f>
        <v/>
      </c>
      <c r="D375" s="0" t="str">
        <f aca="false">IF('Deal Tracker'!B375="","",IF('Deal Tracker'!D375="","TBD","$"&amp;TEXT('Deal Tracker'!D375,"#,##0")&amp;"M"))</f>
        <v/>
      </c>
      <c r="E375" s="0" t="str">
        <f aca="false">IF('Deal Tracker'!B375="","",IF(AND(F375="",G375=""),"",F375&amp;IF(OR(F375="",G375=""),"","  ·  ")&amp;G375))</f>
        <v/>
      </c>
      <c r="F375" s="0" t="str">
        <f aca="false">IF('Deal Tracker'!F375="",IF('Deal Tracker'!G375="","",'Deal Tracker'!G375),'Deal Tracker'!F375&amp;IF('Deal Tracker'!G375="","",", "&amp;'Deal Tracker'!G375))</f>
        <v/>
      </c>
      <c r="G375" s="0" t="str">
        <f aca="false">IF('Deal Tracker'!H375="","","Target: "&amp;TEXT('Deal Tracker'!H375,"mmm yyyy"))</f>
        <v/>
      </c>
    </row>
    <row r="376" customFormat="false" ht="15" hidden="false" customHeight="false" outlineLevel="0" collapsed="false">
      <c r="A376" s="0" t="str">
        <f aca="false">IF('Deal Tracker'!C376="","",COUNTIF('Deal Tracker'!$C$2:C376,'Deal Tracker'!C376))</f>
        <v/>
      </c>
      <c r="B376" s="0" t="str">
        <f aca="false">IF(A376="","",'Deal Tracker'!C376&amp;"#"&amp;A376)</f>
        <v/>
      </c>
      <c r="C376" s="0" t="str">
        <f aca="false">IF('Deal Tracker'!B376="","",'Deal Tracker'!B376)</f>
        <v/>
      </c>
      <c r="D376" s="0" t="str">
        <f aca="false">IF('Deal Tracker'!B376="","",IF('Deal Tracker'!D376="","TBD","$"&amp;TEXT('Deal Tracker'!D376,"#,##0")&amp;"M"))</f>
        <v/>
      </c>
      <c r="E376" s="0" t="str">
        <f aca="false">IF('Deal Tracker'!B376="","",IF(AND(F376="",G376=""),"",F376&amp;IF(OR(F376="",G376=""),"","  ·  ")&amp;G376))</f>
        <v/>
      </c>
      <c r="F376" s="0" t="str">
        <f aca="false">IF('Deal Tracker'!F376="",IF('Deal Tracker'!G376="","",'Deal Tracker'!G376),'Deal Tracker'!F376&amp;IF('Deal Tracker'!G376="","",", "&amp;'Deal Tracker'!G376))</f>
        <v/>
      </c>
      <c r="G376" s="0" t="str">
        <f aca="false">IF('Deal Tracker'!H376="","","Target: "&amp;TEXT('Deal Tracker'!H376,"mmm yyyy"))</f>
        <v/>
      </c>
    </row>
    <row r="377" customFormat="false" ht="15" hidden="false" customHeight="false" outlineLevel="0" collapsed="false">
      <c r="A377" s="0" t="str">
        <f aca="false">IF('Deal Tracker'!C377="","",COUNTIF('Deal Tracker'!$C$2:C377,'Deal Tracker'!C377))</f>
        <v/>
      </c>
      <c r="B377" s="0" t="str">
        <f aca="false">IF(A377="","",'Deal Tracker'!C377&amp;"#"&amp;A377)</f>
        <v/>
      </c>
      <c r="C377" s="0" t="str">
        <f aca="false">IF('Deal Tracker'!B377="","",'Deal Tracker'!B377)</f>
        <v/>
      </c>
      <c r="D377" s="0" t="str">
        <f aca="false">IF('Deal Tracker'!B377="","",IF('Deal Tracker'!D377="","TBD","$"&amp;TEXT('Deal Tracker'!D377,"#,##0")&amp;"M"))</f>
        <v/>
      </c>
      <c r="E377" s="0" t="str">
        <f aca="false">IF('Deal Tracker'!B377="","",IF(AND(F377="",G377=""),"",F377&amp;IF(OR(F377="",G377=""),"","  ·  ")&amp;G377))</f>
        <v/>
      </c>
      <c r="F377" s="0" t="str">
        <f aca="false">IF('Deal Tracker'!F377="",IF('Deal Tracker'!G377="","",'Deal Tracker'!G377),'Deal Tracker'!F377&amp;IF('Deal Tracker'!G377="","",", "&amp;'Deal Tracker'!G377))</f>
        <v/>
      </c>
      <c r="G377" s="0" t="str">
        <f aca="false">IF('Deal Tracker'!H377="","","Target: "&amp;TEXT('Deal Tracker'!H377,"mmm yyyy"))</f>
        <v/>
      </c>
    </row>
    <row r="378" customFormat="false" ht="15" hidden="false" customHeight="false" outlineLevel="0" collapsed="false">
      <c r="A378" s="0" t="str">
        <f aca="false">IF('Deal Tracker'!C378="","",COUNTIF('Deal Tracker'!$C$2:C378,'Deal Tracker'!C378))</f>
        <v/>
      </c>
      <c r="B378" s="0" t="str">
        <f aca="false">IF(A378="","",'Deal Tracker'!C378&amp;"#"&amp;A378)</f>
        <v/>
      </c>
      <c r="C378" s="0" t="str">
        <f aca="false">IF('Deal Tracker'!B378="","",'Deal Tracker'!B378)</f>
        <v/>
      </c>
      <c r="D378" s="0" t="str">
        <f aca="false">IF('Deal Tracker'!B378="","",IF('Deal Tracker'!D378="","TBD","$"&amp;TEXT('Deal Tracker'!D378,"#,##0")&amp;"M"))</f>
        <v/>
      </c>
      <c r="E378" s="0" t="str">
        <f aca="false">IF('Deal Tracker'!B378="","",IF(AND(F378="",G378=""),"",F378&amp;IF(OR(F378="",G378=""),"","  ·  ")&amp;G378))</f>
        <v/>
      </c>
      <c r="F378" s="0" t="str">
        <f aca="false">IF('Deal Tracker'!F378="",IF('Deal Tracker'!G378="","",'Deal Tracker'!G378),'Deal Tracker'!F378&amp;IF('Deal Tracker'!G378="","",", "&amp;'Deal Tracker'!G378))</f>
        <v/>
      </c>
      <c r="G378" s="0" t="str">
        <f aca="false">IF('Deal Tracker'!H378="","","Target: "&amp;TEXT('Deal Tracker'!H378,"mmm yyyy"))</f>
        <v/>
      </c>
    </row>
    <row r="379" customFormat="false" ht="15" hidden="false" customHeight="false" outlineLevel="0" collapsed="false">
      <c r="A379" s="0" t="str">
        <f aca="false">IF('Deal Tracker'!C379="","",COUNTIF('Deal Tracker'!$C$2:C379,'Deal Tracker'!C379))</f>
        <v/>
      </c>
      <c r="B379" s="0" t="str">
        <f aca="false">IF(A379="","",'Deal Tracker'!C379&amp;"#"&amp;A379)</f>
        <v/>
      </c>
      <c r="C379" s="0" t="str">
        <f aca="false">IF('Deal Tracker'!B379="","",'Deal Tracker'!B379)</f>
        <v/>
      </c>
      <c r="D379" s="0" t="str">
        <f aca="false">IF('Deal Tracker'!B379="","",IF('Deal Tracker'!D379="","TBD","$"&amp;TEXT('Deal Tracker'!D379,"#,##0")&amp;"M"))</f>
        <v/>
      </c>
      <c r="E379" s="0" t="str">
        <f aca="false">IF('Deal Tracker'!B379="","",IF(AND(F379="",G379=""),"",F379&amp;IF(OR(F379="",G379=""),"","  ·  ")&amp;G379))</f>
        <v/>
      </c>
      <c r="F379" s="0" t="str">
        <f aca="false">IF('Deal Tracker'!F379="",IF('Deal Tracker'!G379="","",'Deal Tracker'!G379),'Deal Tracker'!F379&amp;IF('Deal Tracker'!G379="","",", "&amp;'Deal Tracker'!G379))</f>
        <v/>
      </c>
      <c r="G379" s="0" t="str">
        <f aca="false">IF('Deal Tracker'!H379="","","Target: "&amp;TEXT('Deal Tracker'!H379,"mmm yyyy"))</f>
        <v/>
      </c>
    </row>
    <row r="380" customFormat="false" ht="15" hidden="false" customHeight="false" outlineLevel="0" collapsed="false">
      <c r="A380" s="0" t="str">
        <f aca="false">IF('Deal Tracker'!C380="","",COUNTIF('Deal Tracker'!$C$2:C380,'Deal Tracker'!C380))</f>
        <v/>
      </c>
      <c r="B380" s="0" t="str">
        <f aca="false">IF(A380="","",'Deal Tracker'!C380&amp;"#"&amp;A380)</f>
        <v/>
      </c>
      <c r="C380" s="0" t="str">
        <f aca="false">IF('Deal Tracker'!B380="","",'Deal Tracker'!B380)</f>
        <v/>
      </c>
      <c r="D380" s="0" t="str">
        <f aca="false">IF('Deal Tracker'!B380="","",IF('Deal Tracker'!D380="","TBD","$"&amp;TEXT('Deal Tracker'!D380,"#,##0")&amp;"M"))</f>
        <v/>
      </c>
      <c r="E380" s="0" t="str">
        <f aca="false">IF('Deal Tracker'!B380="","",IF(AND(F380="",G380=""),"",F380&amp;IF(OR(F380="",G380=""),"","  ·  ")&amp;G380))</f>
        <v/>
      </c>
      <c r="F380" s="0" t="str">
        <f aca="false">IF('Deal Tracker'!F380="",IF('Deal Tracker'!G380="","",'Deal Tracker'!G380),'Deal Tracker'!F380&amp;IF('Deal Tracker'!G380="","",", "&amp;'Deal Tracker'!G380))</f>
        <v/>
      </c>
      <c r="G380" s="0" t="str">
        <f aca="false">IF('Deal Tracker'!H380="","","Target: "&amp;TEXT('Deal Tracker'!H380,"mmm yyyy"))</f>
        <v/>
      </c>
    </row>
    <row r="381" customFormat="false" ht="15" hidden="false" customHeight="false" outlineLevel="0" collapsed="false">
      <c r="A381" s="0" t="str">
        <f aca="false">IF('Deal Tracker'!C381="","",COUNTIF('Deal Tracker'!$C$2:C381,'Deal Tracker'!C381))</f>
        <v/>
      </c>
      <c r="B381" s="0" t="str">
        <f aca="false">IF(A381="","",'Deal Tracker'!C381&amp;"#"&amp;A381)</f>
        <v/>
      </c>
      <c r="C381" s="0" t="str">
        <f aca="false">IF('Deal Tracker'!B381="","",'Deal Tracker'!B381)</f>
        <v/>
      </c>
      <c r="D381" s="0" t="str">
        <f aca="false">IF('Deal Tracker'!B381="","",IF('Deal Tracker'!D381="","TBD","$"&amp;TEXT('Deal Tracker'!D381,"#,##0")&amp;"M"))</f>
        <v/>
      </c>
      <c r="E381" s="0" t="str">
        <f aca="false">IF('Deal Tracker'!B381="","",IF(AND(F381="",G381=""),"",F381&amp;IF(OR(F381="",G381=""),"","  ·  ")&amp;G381))</f>
        <v/>
      </c>
      <c r="F381" s="0" t="str">
        <f aca="false">IF('Deal Tracker'!F381="",IF('Deal Tracker'!G381="","",'Deal Tracker'!G381),'Deal Tracker'!F381&amp;IF('Deal Tracker'!G381="","",", "&amp;'Deal Tracker'!G381))</f>
        <v/>
      </c>
      <c r="G381" s="0" t="str">
        <f aca="false">IF('Deal Tracker'!H381="","","Target: "&amp;TEXT('Deal Tracker'!H381,"mmm yyyy"))</f>
        <v/>
      </c>
    </row>
    <row r="382" customFormat="false" ht="15" hidden="false" customHeight="false" outlineLevel="0" collapsed="false">
      <c r="A382" s="0" t="str">
        <f aca="false">IF('Deal Tracker'!C382="","",COUNTIF('Deal Tracker'!$C$2:C382,'Deal Tracker'!C382))</f>
        <v/>
      </c>
      <c r="B382" s="0" t="str">
        <f aca="false">IF(A382="","",'Deal Tracker'!C382&amp;"#"&amp;A382)</f>
        <v/>
      </c>
      <c r="C382" s="0" t="str">
        <f aca="false">IF('Deal Tracker'!B382="","",'Deal Tracker'!B382)</f>
        <v/>
      </c>
      <c r="D382" s="0" t="str">
        <f aca="false">IF('Deal Tracker'!B382="","",IF('Deal Tracker'!D382="","TBD","$"&amp;TEXT('Deal Tracker'!D382,"#,##0")&amp;"M"))</f>
        <v/>
      </c>
      <c r="E382" s="0" t="str">
        <f aca="false">IF('Deal Tracker'!B382="","",IF(AND(F382="",G382=""),"",F382&amp;IF(OR(F382="",G382=""),"","  ·  ")&amp;G382))</f>
        <v/>
      </c>
      <c r="F382" s="0" t="str">
        <f aca="false">IF('Deal Tracker'!F382="",IF('Deal Tracker'!G382="","",'Deal Tracker'!G382),'Deal Tracker'!F382&amp;IF('Deal Tracker'!G382="","",", "&amp;'Deal Tracker'!G382))</f>
        <v/>
      </c>
      <c r="G382" s="0" t="str">
        <f aca="false">IF('Deal Tracker'!H382="","","Target: "&amp;TEXT('Deal Tracker'!H382,"mmm yyyy"))</f>
        <v/>
      </c>
    </row>
    <row r="383" customFormat="false" ht="15" hidden="false" customHeight="false" outlineLevel="0" collapsed="false">
      <c r="A383" s="0" t="str">
        <f aca="false">IF('Deal Tracker'!C383="","",COUNTIF('Deal Tracker'!$C$2:C383,'Deal Tracker'!C383))</f>
        <v/>
      </c>
      <c r="B383" s="0" t="str">
        <f aca="false">IF(A383="","",'Deal Tracker'!C383&amp;"#"&amp;A383)</f>
        <v/>
      </c>
      <c r="C383" s="0" t="str">
        <f aca="false">IF('Deal Tracker'!B383="","",'Deal Tracker'!B383)</f>
        <v/>
      </c>
      <c r="D383" s="0" t="str">
        <f aca="false">IF('Deal Tracker'!B383="","",IF('Deal Tracker'!D383="","TBD","$"&amp;TEXT('Deal Tracker'!D383,"#,##0")&amp;"M"))</f>
        <v/>
      </c>
      <c r="E383" s="0" t="str">
        <f aca="false">IF('Deal Tracker'!B383="","",IF(AND(F383="",G383=""),"",F383&amp;IF(OR(F383="",G383=""),"","  ·  ")&amp;G383))</f>
        <v/>
      </c>
      <c r="F383" s="0" t="str">
        <f aca="false">IF('Deal Tracker'!F383="",IF('Deal Tracker'!G383="","",'Deal Tracker'!G383),'Deal Tracker'!F383&amp;IF('Deal Tracker'!G383="","",", "&amp;'Deal Tracker'!G383))</f>
        <v/>
      </c>
      <c r="G383" s="0" t="str">
        <f aca="false">IF('Deal Tracker'!H383="","","Target: "&amp;TEXT('Deal Tracker'!H383,"mmm yyyy"))</f>
        <v/>
      </c>
    </row>
    <row r="384" customFormat="false" ht="15" hidden="false" customHeight="false" outlineLevel="0" collapsed="false">
      <c r="A384" s="0" t="str">
        <f aca="false">IF('Deal Tracker'!C384="","",COUNTIF('Deal Tracker'!$C$2:C384,'Deal Tracker'!C384))</f>
        <v/>
      </c>
      <c r="B384" s="0" t="str">
        <f aca="false">IF(A384="","",'Deal Tracker'!C384&amp;"#"&amp;A384)</f>
        <v/>
      </c>
      <c r="C384" s="0" t="str">
        <f aca="false">IF('Deal Tracker'!B384="","",'Deal Tracker'!B384)</f>
        <v/>
      </c>
      <c r="D384" s="0" t="str">
        <f aca="false">IF('Deal Tracker'!B384="","",IF('Deal Tracker'!D384="","TBD","$"&amp;TEXT('Deal Tracker'!D384,"#,##0")&amp;"M"))</f>
        <v/>
      </c>
      <c r="E384" s="0" t="str">
        <f aca="false">IF('Deal Tracker'!B384="","",IF(AND(F384="",G384=""),"",F384&amp;IF(OR(F384="",G384=""),"","  ·  ")&amp;G384))</f>
        <v/>
      </c>
      <c r="F384" s="0" t="str">
        <f aca="false">IF('Deal Tracker'!F384="",IF('Deal Tracker'!G384="","",'Deal Tracker'!G384),'Deal Tracker'!F384&amp;IF('Deal Tracker'!G384="","",", "&amp;'Deal Tracker'!G384))</f>
        <v/>
      </c>
      <c r="G384" s="0" t="str">
        <f aca="false">IF('Deal Tracker'!H384="","","Target: "&amp;TEXT('Deal Tracker'!H384,"mmm yyyy"))</f>
        <v/>
      </c>
    </row>
    <row r="385" customFormat="false" ht="15" hidden="false" customHeight="false" outlineLevel="0" collapsed="false">
      <c r="A385" s="0" t="str">
        <f aca="false">IF('Deal Tracker'!C385="","",COUNTIF('Deal Tracker'!$C$2:C385,'Deal Tracker'!C385))</f>
        <v/>
      </c>
      <c r="B385" s="0" t="str">
        <f aca="false">IF(A385="","",'Deal Tracker'!C385&amp;"#"&amp;A385)</f>
        <v/>
      </c>
      <c r="C385" s="0" t="str">
        <f aca="false">IF('Deal Tracker'!B385="","",'Deal Tracker'!B385)</f>
        <v/>
      </c>
      <c r="D385" s="0" t="str">
        <f aca="false">IF('Deal Tracker'!B385="","",IF('Deal Tracker'!D385="","TBD","$"&amp;TEXT('Deal Tracker'!D385,"#,##0")&amp;"M"))</f>
        <v/>
      </c>
      <c r="E385" s="0" t="str">
        <f aca="false">IF('Deal Tracker'!B385="","",IF(AND(F385="",G385=""),"",F385&amp;IF(OR(F385="",G385=""),"","  ·  ")&amp;G385))</f>
        <v/>
      </c>
      <c r="F385" s="0" t="str">
        <f aca="false">IF('Deal Tracker'!F385="",IF('Deal Tracker'!G385="","",'Deal Tracker'!G385),'Deal Tracker'!F385&amp;IF('Deal Tracker'!G385="","",", "&amp;'Deal Tracker'!G385))</f>
        <v/>
      </c>
      <c r="G385" s="0" t="str">
        <f aca="false">IF('Deal Tracker'!H385="","","Target: "&amp;TEXT('Deal Tracker'!H385,"mmm yyyy"))</f>
        <v/>
      </c>
    </row>
    <row r="386" customFormat="false" ht="15" hidden="false" customHeight="false" outlineLevel="0" collapsed="false">
      <c r="A386" s="0" t="str">
        <f aca="false">IF('Deal Tracker'!C386="","",COUNTIF('Deal Tracker'!$C$2:C386,'Deal Tracker'!C386))</f>
        <v/>
      </c>
      <c r="B386" s="0" t="str">
        <f aca="false">IF(A386="","",'Deal Tracker'!C386&amp;"#"&amp;A386)</f>
        <v/>
      </c>
      <c r="C386" s="0" t="str">
        <f aca="false">IF('Deal Tracker'!B386="","",'Deal Tracker'!B386)</f>
        <v/>
      </c>
      <c r="D386" s="0" t="str">
        <f aca="false">IF('Deal Tracker'!B386="","",IF('Deal Tracker'!D386="","TBD","$"&amp;TEXT('Deal Tracker'!D386,"#,##0")&amp;"M"))</f>
        <v/>
      </c>
      <c r="E386" s="0" t="str">
        <f aca="false">IF('Deal Tracker'!B386="","",IF(AND(F386="",G386=""),"",F386&amp;IF(OR(F386="",G386=""),"","  ·  ")&amp;G386))</f>
        <v/>
      </c>
      <c r="F386" s="0" t="str">
        <f aca="false">IF('Deal Tracker'!F386="",IF('Deal Tracker'!G386="","",'Deal Tracker'!G386),'Deal Tracker'!F386&amp;IF('Deal Tracker'!G386="","",", "&amp;'Deal Tracker'!G386))</f>
        <v/>
      </c>
      <c r="G386" s="0" t="str">
        <f aca="false">IF('Deal Tracker'!H386="","","Target: "&amp;TEXT('Deal Tracker'!H386,"mmm yyyy"))</f>
        <v/>
      </c>
    </row>
    <row r="387" customFormat="false" ht="15" hidden="false" customHeight="false" outlineLevel="0" collapsed="false">
      <c r="A387" s="0" t="str">
        <f aca="false">IF('Deal Tracker'!C387="","",COUNTIF('Deal Tracker'!$C$2:C387,'Deal Tracker'!C387))</f>
        <v/>
      </c>
      <c r="B387" s="0" t="str">
        <f aca="false">IF(A387="","",'Deal Tracker'!C387&amp;"#"&amp;A387)</f>
        <v/>
      </c>
      <c r="C387" s="0" t="str">
        <f aca="false">IF('Deal Tracker'!B387="","",'Deal Tracker'!B387)</f>
        <v/>
      </c>
      <c r="D387" s="0" t="str">
        <f aca="false">IF('Deal Tracker'!B387="","",IF('Deal Tracker'!D387="","TBD","$"&amp;TEXT('Deal Tracker'!D387,"#,##0")&amp;"M"))</f>
        <v/>
      </c>
      <c r="E387" s="0" t="str">
        <f aca="false">IF('Deal Tracker'!B387="","",IF(AND(F387="",G387=""),"",F387&amp;IF(OR(F387="",G387=""),"","  ·  ")&amp;G387))</f>
        <v/>
      </c>
      <c r="F387" s="0" t="str">
        <f aca="false">IF('Deal Tracker'!F387="",IF('Deal Tracker'!G387="","",'Deal Tracker'!G387),'Deal Tracker'!F387&amp;IF('Deal Tracker'!G387="","",", "&amp;'Deal Tracker'!G387))</f>
        <v/>
      </c>
      <c r="G387" s="0" t="str">
        <f aca="false">IF('Deal Tracker'!H387="","","Target: "&amp;TEXT('Deal Tracker'!H387,"mmm yyyy"))</f>
        <v/>
      </c>
    </row>
    <row r="388" customFormat="false" ht="15" hidden="false" customHeight="false" outlineLevel="0" collapsed="false">
      <c r="A388" s="0" t="str">
        <f aca="false">IF('Deal Tracker'!C388="","",COUNTIF('Deal Tracker'!$C$2:C388,'Deal Tracker'!C388))</f>
        <v/>
      </c>
      <c r="B388" s="0" t="str">
        <f aca="false">IF(A388="","",'Deal Tracker'!C388&amp;"#"&amp;A388)</f>
        <v/>
      </c>
      <c r="C388" s="0" t="str">
        <f aca="false">IF('Deal Tracker'!B388="","",'Deal Tracker'!B388)</f>
        <v/>
      </c>
      <c r="D388" s="0" t="str">
        <f aca="false">IF('Deal Tracker'!B388="","",IF('Deal Tracker'!D388="","TBD","$"&amp;TEXT('Deal Tracker'!D388,"#,##0")&amp;"M"))</f>
        <v/>
      </c>
      <c r="E388" s="0" t="str">
        <f aca="false">IF('Deal Tracker'!B388="","",IF(AND(F388="",G388=""),"",F388&amp;IF(OR(F388="",G388=""),"","  ·  ")&amp;G388))</f>
        <v/>
      </c>
      <c r="F388" s="0" t="str">
        <f aca="false">IF('Deal Tracker'!F388="",IF('Deal Tracker'!G388="","",'Deal Tracker'!G388),'Deal Tracker'!F388&amp;IF('Deal Tracker'!G388="","",", "&amp;'Deal Tracker'!G388))</f>
        <v/>
      </c>
      <c r="G388" s="0" t="str">
        <f aca="false">IF('Deal Tracker'!H388="","","Target: "&amp;TEXT('Deal Tracker'!H388,"mmm yyyy"))</f>
        <v/>
      </c>
    </row>
    <row r="389" customFormat="false" ht="15" hidden="false" customHeight="false" outlineLevel="0" collapsed="false">
      <c r="A389" s="0" t="str">
        <f aca="false">IF('Deal Tracker'!C389="","",COUNTIF('Deal Tracker'!$C$2:C389,'Deal Tracker'!C389))</f>
        <v/>
      </c>
      <c r="B389" s="0" t="str">
        <f aca="false">IF(A389="","",'Deal Tracker'!C389&amp;"#"&amp;A389)</f>
        <v/>
      </c>
      <c r="C389" s="0" t="str">
        <f aca="false">IF('Deal Tracker'!B389="","",'Deal Tracker'!B389)</f>
        <v/>
      </c>
      <c r="D389" s="0" t="str">
        <f aca="false">IF('Deal Tracker'!B389="","",IF('Deal Tracker'!D389="","TBD","$"&amp;TEXT('Deal Tracker'!D389,"#,##0")&amp;"M"))</f>
        <v/>
      </c>
      <c r="E389" s="0" t="str">
        <f aca="false">IF('Deal Tracker'!B389="","",IF(AND(F389="",G389=""),"",F389&amp;IF(OR(F389="",G389=""),"","  ·  ")&amp;G389))</f>
        <v/>
      </c>
      <c r="F389" s="0" t="str">
        <f aca="false">IF('Deal Tracker'!F389="",IF('Deal Tracker'!G389="","",'Deal Tracker'!G389),'Deal Tracker'!F389&amp;IF('Deal Tracker'!G389="","",", "&amp;'Deal Tracker'!G389))</f>
        <v/>
      </c>
      <c r="G389" s="0" t="str">
        <f aca="false">IF('Deal Tracker'!H389="","","Target: "&amp;TEXT('Deal Tracker'!H389,"mmm yyyy"))</f>
        <v/>
      </c>
    </row>
    <row r="390" customFormat="false" ht="15" hidden="false" customHeight="false" outlineLevel="0" collapsed="false">
      <c r="A390" s="0" t="str">
        <f aca="false">IF('Deal Tracker'!C390="","",COUNTIF('Deal Tracker'!$C$2:C390,'Deal Tracker'!C390))</f>
        <v/>
      </c>
      <c r="B390" s="0" t="str">
        <f aca="false">IF(A390="","",'Deal Tracker'!C390&amp;"#"&amp;A390)</f>
        <v/>
      </c>
      <c r="C390" s="0" t="str">
        <f aca="false">IF('Deal Tracker'!B390="","",'Deal Tracker'!B390)</f>
        <v/>
      </c>
      <c r="D390" s="0" t="str">
        <f aca="false">IF('Deal Tracker'!B390="","",IF('Deal Tracker'!D390="","TBD","$"&amp;TEXT('Deal Tracker'!D390,"#,##0")&amp;"M"))</f>
        <v/>
      </c>
      <c r="E390" s="0" t="str">
        <f aca="false">IF('Deal Tracker'!B390="","",IF(AND(F390="",G390=""),"",F390&amp;IF(OR(F390="",G390=""),"","  ·  ")&amp;G390))</f>
        <v/>
      </c>
      <c r="F390" s="0" t="str">
        <f aca="false">IF('Deal Tracker'!F390="",IF('Deal Tracker'!G390="","",'Deal Tracker'!G390),'Deal Tracker'!F390&amp;IF('Deal Tracker'!G390="","",", "&amp;'Deal Tracker'!G390))</f>
        <v/>
      </c>
      <c r="G390" s="0" t="str">
        <f aca="false">IF('Deal Tracker'!H390="","","Target: "&amp;TEXT('Deal Tracker'!H390,"mmm yyyy"))</f>
        <v/>
      </c>
    </row>
    <row r="391" customFormat="false" ht="15" hidden="false" customHeight="false" outlineLevel="0" collapsed="false">
      <c r="A391" s="0" t="str">
        <f aca="false">IF('Deal Tracker'!C391="","",COUNTIF('Deal Tracker'!$C$2:C391,'Deal Tracker'!C391))</f>
        <v/>
      </c>
      <c r="B391" s="0" t="str">
        <f aca="false">IF(A391="","",'Deal Tracker'!C391&amp;"#"&amp;A391)</f>
        <v/>
      </c>
      <c r="C391" s="0" t="str">
        <f aca="false">IF('Deal Tracker'!B391="","",'Deal Tracker'!B391)</f>
        <v/>
      </c>
      <c r="D391" s="0" t="str">
        <f aca="false">IF('Deal Tracker'!B391="","",IF('Deal Tracker'!D391="","TBD","$"&amp;TEXT('Deal Tracker'!D391,"#,##0")&amp;"M"))</f>
        <v/>
      </c>
      <c r="E391" s="0" t="str">
        <f aca="false">IF('Deal Tracker'!B391="","",IF(AND(F391="",G391=""),"",F391&amp;IF(OR(F391="",G391=""),"","  ·  ")&amp;G391))</f>
        <v/>
      </c>
      <c r="F391" s="0" t="str">
        <f aca="false">IF('Deal Tracker'!F391="",IF('Deal Tracker'!G391="","",'Deal Tracker'!G391),'Deal Tracker'!F391&amp;IF('Deal Tracker'!G391="","",", "&amp;'Deal Tracker'!G391))</f>
        <v/>
      </c>
      <c r="G391" s="0" t="str">
        <f aca="false">IF('Deal Tracker'!H391="","","Target: "&amp;TEXT('Deal Tracker'!H391,"mmm yyyy"))</f>
        <v/>
      </c>
    </row>
    <row r="392" customFormat="false" ht="15" hidden="false" customHeight="false" outlineLevel="0" collapsed="false">
      <c r="A392" s="0" t="str">
        <f aca="false">IF('Deal Tracker'!C392="","",COUNTIF('Deal Tracker'!$C$2:C392,'Deal Tracker'!C392))</f>
        <v/>
      </c>
      <c r="B392" s="0" t="str">
        <f aca="false">IF(A392="","",'Deal Tracker'!C392&amp;"#"&amp;A392)</f>
        <v/>
      </c>
      <c r="C392" s="0" t="str">
        <f aca="false">IF('Deal Tracker'!B392="","",'Deal Tracker'!B392)</f>
        <v/>
      </c>
      <c r="D392" s="0" t="str">
        <f aca="false">IF('Deal Tracker'!B392="","",IF('Deal Tracker'!D392="","TBD","$"&amp;TEXT('Deal Tracker'!D392,"#,##0")&amp;"M"))</f>
        <v/>
      </c>
      <c r="E392" s="0" t="str">
        <f aca="false">IF('Deal Tracker'!B392="","",IF(AND(F392="",G392=""),"",F392&amp;IF(OR(F392="",G392=""),"","  ·  ")&amp;G392))</f>
        <v/>
      </c>
      <c r="F392" s="0" t="str">
        <f aca="false">IF('Deal Tracker'!F392="",IF('Deal Tracker'!G392="","",'Deal Tracker'!G392),'Deal Tracker'!F392&amp;IF('Deal Tracker'!G392="","",", "&amp;'Deal Tracker'!G392))</f>
        <v/>
      </c>
      <c r="G392" s="0" t="str">
        <f aca="false">IF('Deal Tracker'!H392="","","Target: "&amp;TEXT('Deal Tracker'!H392,"mmm yyyy"))</f>
        <v/>
      </c>
    </row>
    <row r="393" customFormat="false" ht="15" hidden="false" customHeight="false" outlineLevel="0" collapsed="false">
      <c r="A393" s="0" t="str">
        <f aca="false">IF('Deal Tracker'!C393="","",COUNTIF('Deal Tracker'!$C$2:C393,'Deal Tracker'!C393))</f>
        <v/>
      </c>
      <c r="B393" s="0" t="str">
        <f aca="false">IF(A393="","",'Deal Tracker'!C393&amp;"#"&amp;A393)</f>
        <v/>
      </c>
      <c r="C393" s="0" t="str">
        <f aca="false">IF('Deal Tracker'!B393="","",'Deal Tracker'!B393)</f>
        <v/>
      </c>
      <c r="D393" s="0" t="str">
        <f aca="false">IF('Deal Tracker'!B393="","",IF('Deal Tracker'!D393="","TBD","$"&amp;TEXT('Deal Tracker'!D393,"#,##0")&amp;"M"))</f>
        <v/>
      </c>
      <c r="E393" s="0" t="str">
        <f aca="false">IF('Deal Tracker'!B393="","",IF(AND(F393="",G393=""),"",F393&amp;IF(OR(F393="",G393=""),"","  ·  ")&amp;G393))</f>
        <v/>
      </c>
      <c r="F393" s="0" t="str">
        <f aca="false">IF('Deal Tracker'!F393="",IF('Deal Tracker'!G393="","",'Deal Tracker'!G393),'Deal Tracker'!F393&amp;IF('Deal Tracker'!G393="","",", "&amp;'Deal Tracker'!G393))</f>
        <v/>
      </c>
      <c r="G393" s="0" t="str">
        <f aca="false">IF('Deal Tracker'!H393="","","Target: "&amp;TEXT('Deal Tracker'!H393,"mmm yyyy"))</f>
        <v/>
      </c>
    </row>
    <row r="394" customFormat="false" ht="15" hidden="false" customHeight="false" outlineLevel="0" collapsed="false">
      <c r="A394" s="0" t="str">
        <f aca="false">IF('Deal Tracker'!C394="","",COUNTIF('Deal Tracker'!$C$2:C394,'Deal Tracker'!C394))</f>
        <v/>
      </c>
      <c r="B394" s="0" t="str">
        <f aca="false">IF(A394="","",'Deal Tracker'!C394&amp;"#"&amp;A394)</f>
        <v/>
      </c>
      <c r="C394" s="0" t="str">
        <f aca="false">IF('Deal Tracker'!B394="","",'Deal Tracker'!B394)</f>
        <v/>
      </c>
      <c r="D394" s="0" t="str">
        <f aca="false">IF('Deal Tracker'!B394="","",IF('Deal Tracker'!D394="","TBD","$"&amp;TEXT('Deal Tracker'!D394,"#,##0")&amp;"M"))</f>
        <v/>
      </c>
      <c r="E394" s="0" t="str">
        <f aca="false">IF('Deal Tracker'!B394="","",IF(AND(F394="",G394=""),"",F394&amp;IF(OR(F394="",G394=""),"","  ·  ")&amp;G394))</f>
        <v/>
      </c>
      <c r="F394" s="0" t="str">
        <f aca="false">IF('Deal Tracker'!F394="",IF('Deal Tracker'!G394="","",'Deal Tracker'!G394),'Deal Tracker'!F394&amp;IF('Deal Tracker'!G394="","",", "&amp;'Deal Tracker'!G394))</f>
        <v/>
      </c>
      <c r="G394" s="0" t="str">
        <f aca="false">IF('Deal Tracker'!H394="","","Target: "&amp;TEXT('Deal Tracker'!H394,"mmm yyyy"))</f>
        <v/>
      </c>
    </row>
    <row r="395" customFormat="false" ht="15" hidden="false" customHeight="false" outlineLevel="0" collapsed="false">
      <c r="A395" s="0" t="str">
        <f aca="false">IF('Deal Tracker'!C395="","",COUNTIF('Deal Tracker'!$C$2:C395,'Deal Tracker'!C395))</f>
        <v/>
      </c>
      <c r="B395" s="0" t="str">
        <f aca="false">IF(A395="","",'Deal Tracker'!C395&amp;"#"&amp;A395)</f>
        <v/>
      </c>
      <c r="C395" s="0" t="str">
        <f aca="false">IF('Deal Tracker'!B395="","",'Deal Tracker'!B395)</f>
        <v/>
      </c>
      <c r="D395" s="0" t="str">
        <f aca="false">IF('Deal Tracker'!B395="","",IF('Deal Tracker'!D395="","TBD","$"&amp;TEXT('Deal Tracker'!D395,"#,##0")&amp;"M"))</f>
        <v/>
      </c>
      <c r="E395" s="0" t="str">
        <f aca="false">IF('Deal Tracker'!B395="","",IF(AND(F395="",G395=""),"",F395&amp;IF(OR(F395="",G395=""),"","  ·  ")&amp;G395))</f>
        <v/>
      </c>
      <c r="F395" s="0" t="str">
        <f aca="false">IF('Deal Tracker'!F395="",IF('Deal Tracker'!G395="","",'Deal Tracker'!G395),'Deal Tracker'!F395&amp;IF('Deal Tracker'!G395="","",", "&amp;'Deal Tracker'!G395))</f>
        <v/>
      </c>
      <c r="G395" s="0" t="str">
        <f aca="false">IF('Deal Tracker'!H395="","","Target: "&amp;TEXT('Deal Tracker'!H395,"mmm yyyy"))</f>
        <v/>
      </c>
    </row>
    <row r="396" customFormat="false" ht="15" hidden="false" customHeight="false" outlineLevel="0" collapsed="false">
      <c r="A396" s="0" t="str">
        <f aca="false">IF('Deal Tracker'!C396="","",COUNTIF('Deal Tracker'!$C$2:C396,'Deal Tracker'!C396))</f>
        <v/>
      </c>
      <c r="B396" s="0" t="str">
        <f aca="false">IF(A396="","",'Deal Tracker'!C396&amp;"#"&amp;A396)</f>
        <v/>
      </c>
      <c r="C396" s="0" t="str">
        <f aca="false">IF('Deal Tracker'!B396="","",'Deal Tracker'!B396)</f>
        <v/>
      </c>
      <c r="D396" s="0" t="str">
        <f aca="false">IF('Deal Tracker'!B396="","",IF('Deal Tracker'!D396="","TBD","$"&amp;TEXT('Deal Tracker'!D396,"#,##0")&amp;"M"))</f>
        <v/>
      </c>
      <c r="E396" s="0" t="str">
        <f aca="false">IF('Deal Tracker'!B396="","",IF(AND(F396="",G396=""),"",F396&amp;IF(OR(F396="",G396=""),"","  ·  ")&amp;G396))</f>
        <v/>
      </c>
      <c r="F396" s="0" t="str">
        <f aca="false">IF('Deal Tracker'!F396="",IF('Deal Tracker'!G396="","",'Deal Tracker'!G396),'Deal Tracker'!F396&amp;IF('Deal Tracker'!G396="","",", "&amp;'Deal Tracker'!G396))</f>
        <v/>
      </c>
      <c r="G396" s="0" t="str">
        <f aca="false">IF('Deal Tracker'!H396="","","Target: "&amp;TEXT('Deal Tracker'!H396,"mmm yyyy"))</f>
        <v/>
      </c>
    </row>
    <row r="397" customFormat="false" ht="15" hidden="false" customHeight="false" outlineLevel="0" collapsed="false">
      <c r="A397" s="0" t="str">
        <f aca="false">IF('Deal Tracker'!C397="","",COUNTIF('Deal Tracker'!$C$2:C397,'Deal Tracker'!C397))</f>
        <v/>
      </c>
      <c r="B397" s="0" t="str">
        <f aca="false">IF(A397="","",'Deal Tracker'!C397&amp;"#"&amp;A397)</f>
        <v/>
      </c>
      <c r="C397" s="0" t="str">
        <f aca="false">IF('Deal Tracker'!B397="","",'Deal Tracker'!B397)</f>
        <v/>
      </c>
      <c r="D397" s="0" t="str">
        <f aca="false">IF('Deal Tracker'!B397="","",IF('Deal Tracker'!D397="","TBD","$"&amp;TEXT('Deal Tracker'!D397,"#,##0")&amp;"M"))</f>
        <v/>
      </c>
      <c r="E397" s="0" t="str">
        <f aca="false">IF('Deal Tracker'!B397="","",IF(AND(F397="",G397=""),"",F397&amp;IF(OR(F397="",G397=""),"","  ·  ")&amp;G397))</f>
        <v/>
      </c>
      <c r="F397" s="0" t="str">
        <f aca="false">IF('Deal Tracker'!F397="",IF('Deal Tracker'!G397="","",'Deal Tracker'!G397),'Deal Tracker'!F397&amp;IF('Deal Tracker'!G397="","",", "&amp;'Deal Tracker'!G397))</f>
        <v/>
      </c>
      <c r="G397" s="0" t="str">
        <f aca="false">IF('Deal Tracker'!H397="","","Target: "&amp;TEXT('Deal Tracker'!H397,"mmm yyyy"))</f>
        <v/>
      </c>
    </row>
    <row r="398" customFormat="false" ht="15" hidden="false" customHeight="false" outlineLevel="0" collapsed="false">
      <c r="A398" s="0" t="str">
        <f aca="false">IF('Deal Tracker'!C398="","",COUNTIF('Deal Tracker'!$C$2:C398,'Deal Tracker'!C398))</f>
        <v/>
      </c>
      <c r="B398" s="0" t="str">
        <f aca="false">IF(A398="","",'Deal Tracker'!C398&amp;"#"&amp;A398)</f>
        <v/>
      </c>
      <c r="C398" s="0" t="str">
        <f aca="false">IF('Deal Tracker'!B398="","",'Deal Tracker'!B398)</f>
        <v/>
      </c>
      <c r="D398" s="0" t="str">
        <f aca="false">IF('Deal Tracker'!B398="","",IF('Deal Tracker'!D398="","TBD","$"&amp;TEXT('Deal Tracker'!D398,"#,##0")&amp;"M"))</f>
        <v/>
      </c>
      <c r="E398" s="0" t="str">
        <f aca="false">IF('Deal Tracker'!B398="","",IF(AND(F398="",G398=""),"",F398&amp;IF(OR(F398="",G398=""),"","  ·  ")&amp;G398))</f>
        <v/>
      </c>
      <c r="F398" s="0" t="str">
        <f aca="false">IF('Deal Tracker'!F398="",IF('Deal Tracker'!G398="","",'Deal Tracker'!G398),'Deal Tracker'!F398&amp;IF('Deal Tracker'!G398="","",", "&amp;'Deal Tracker'!G398))</f>
        <v/>
      </c>
      <c r="G398" s="0" t="str">
        <f aca="false">IF('Deal Tracker'!H398="","","Target: "&amp;TEXT('Deal Tracker'!H398,"mmm yyyy"))</f>
        <v/>
      </c>
    </row>
    <row r="399" customFormat="false" ht="15" hidden="false" customHeight="false" outlineLevel="0" collapsed="false">
      <c r="A399" s="0" t="str">
        <f aca="false">IF('Deal Tracker'!C399="","",COUNTIF('Deal Tracker'!$C$2:C399,'Deal Tracker'!C399))</f>
        <v/>
      </c>
      <c r="B399" s="0" t="str">
        <f aca="false">IF(A399="","",'Deal Tracker'!C399&amp;"#"&amp;A399)</f>
        <v/>
      </c>
      <c r="C399" s="0" t="str">
        <f aca="false">IF('Deal Tracker'!B399="","",'Deal Tracker'!B399)</f>
        <v/>
      </c>
      <c r="D399" s="0" t="str">
        <f aca="false">IF('Deal Tracker'!B399="","",IF('Deal Tracker'!D399="","TBD","$"&amp;TEXT('Deal Tracker'!D399,"#,##0")&amp;"M"))</f>
        <v/>
      </c>
      <c r="E399" s="0" t="str">
        <f aca="false">IF('Deal Tracker'!B399="","",IF(AND(F399="",G399=""),"",F399&amp;IF(OR(F399="",G399=""),"","  ·  ")&amp;G399))</f>
        <v/>
      </c>
      <c r="F399" s="0" t="str">
        <f aca="false">IF('Deal Tracker'!F399="",IF('Deal Tracker'!G399="","",'Deal Tracker'!G399),'Deal Tracker'!F399&amp;IF('Deal Tracker'!G399="","",", "&amp;'Deal Tracker'!G399))</f>
        <v/>
      </c>
      <c r="G399" s="0" t="str">
        <f aca="false">IF('Deal Tracker'!H399="","","Target: "&amp;TEXT('Deal Tracker'!H399,"mmm yyyy"))</f>
        <v/>
      </c>
    </row>
    <row r="400" customFormat="false" ht="15" hidden="false" customHeight="false" outlineLevel="0" collapsed="false">
      <c r="A400" s="0" t="str">
        <f aca="false">IF('Deal Tracker'!C400="","",COUNTIF('Deal Tracker'!$C$2:C400,'Deal Tracker'!C400))</f>
        <v/>
      </c>
      <c r="B400" s="0" t="str">
        <f aca="false">IF(A400="","",'Deal Tracker'!C400&amp;"#"&amp;A400)</f>
        <v/>
      </c>
      <c r="C400" s="0" t="str">
        <f aca="false">IF('Deal Tracker'!B400="","",'Deal Tracker'!B400)</f>
        <v/>
      </c>
      <c r="D400" s="0" t="str">
        <f aca="false">IF('Deal Tracker'!B400="","",IF('Deal Tracker'!D400="","TBD","$"&amp;TEXT('Deal Tracker'!D400,"#,##0")&amp;"M"))</f>
        <v/>
      </c>
      <c r="E400" s="0" t="str">
        <f aca="false">IF('Deal Tracker'!B400="","",IF(AND(F400="",G400=""),"",F400&amp;IF(OR(F400="",G400=""),"","  ·  ")&amp;G400))</f>
        <v/>
      </c>
      <c r="F400" s="0" t="str">
        <f aca="false">IF('Deal Tracker'!F400="",IF('Deal Tracker'!G400="","",'Deal Tracker'!G400),'Deal Tracker'!F400&amp;IF('Deal Tracker'!G400="","",", "&amp;'Deal Tracker'!G400))</f>
        <v/>
      </c>
      <c r="G400" s="0" t="str">
        <f aca="false">IF('Deal Tracker'!H400="","","Target: "&amp;TEXT('Deal Tracker'!H400,"mmm yyyy"))</f>
        <v/>
      </c>
    </row>
    <row r="401" customFormat="false" ht="15" hidden="false" customHeight="false" outlineLevel="0" collapsed="false">
      <c r="A401" s="0" t="str">
        <f aca="false">IF('Deal Tracker'!C401="","",COUNTIF('Deal Tracker'!$C$2:C401,'Deal Tracker'!C401))</f>
        <v/>
      </c>
      <c r="B401" s="0" t="str">
        <f aca="false">IF(A401="","",'Deal Tracker'!C401&amp;"#"&amp;A401)</f>
        <v/>
      </c>
      <c r="C401" s="0" t="str">
        <f aca="false">IF('Deal Tracker'!B401="","",'Deal Tracker'!B401)</f>
        <v/>
      </c>
      <c r="D401" s="0" t="str">
        <f aca="false">IF('Deal Tracker'!B401="","",IF('Deal Tracker'!D401="","TBD","$"&amp;TEXT('Deal Tracker'!D401,"#,##0")&amp;"M"))</f>
        <v/>
      </c>
      <c r="E401" s="0" t="str">
        <f aca="false">IF('Deal Tracker'!B401="","",IF(AND(F401="",G401=""),"",F401&amp;IF(OR(F401="",G401=""),"","  ·  ")&amp;G401))</f>
        <v/>
      </c>
      <c r="F401" s="0" t="str">
        <f aca="false">IF('Deal Tracker'!F401="",IF('Deal Tracker'!G401="","",'Deal Tracker'!G401),'Deal Tracker'!F401&amp;IF('Deal Tracker'!G401="","",", "&amp;'Deal Tracker'!G401))</f>
        <v/>
      </c>
      <c r="G401" s="0" t="str">
        <f aca="false">IF('Deal Tracker'!H401="","","Target: "&amp;TEXT('Deal Tracker'!H401,"mmm yyyy"))</f>
        <v/>
      </c>
    </row>
    <row r="402" customFormat="false" ht="15" hidden="false" customHeight="false" outlineLevel="0" collapsed="false">
      <c r="A402" s="0" t="str">
        <f aca="false">IF('Deal Tracker'!C402="","",COUNTIF('Deal Tracker'!$C$2:C402,'Deal Tracker'!C402))</f>
        <v/>
      </c>
      <c r="B402" s="0" t="str">
        <f aca="false">IF(A402="","",'Deal Tracker'!C402&amp;"#"&amp;A402)</f>
        <v/>
      </c>
      <c r="C402" s="0" t="str">
        <f aca="false">IF('Deal Tracker'!B402="","",'Deal Tracker'!B402)</f>
        <v/>
      </c>
      <c r="D402" s="0" t="str">
        <f aca="false">IF('Deal Tracker'!B402="","",IF('Deal Tracker'!D402="","TBD","$"&amp;TEXT('Deal Tracker'!D402,"#,##0")&amp;"M"))</f>
        <v/>
      </c>
      <c r="E402" s="0" t="str">
        <f aca="false">IF('Deal Tracker'!B402="","",IF(AND(F402="",G402=""),"",F402&amp;IF(OR(F402="",G402=""),"","  ·  ")&amp;G402))</f>
        <v/>
      </c>
      <c r="F402" s="0" t="str">
        <f aca="false">IF('Deal Tracker'!F402="",IF('Deal Tracker'!G402="","",'Deal Tracker'!G402),'Deal Tracker'!F402&amp;IF('Deal Tracker'!G402="","",", "&amp;'Deal Tracker'!G402))</f>
        <v/>
      </c>
      <c r="G402" s="0" t="str">
        <f aca="false">IF('Deal Tracker'!H402="","","Target: "&amp;TEXT('Deal Tracker'!H402,"mmm yyyy"))</f>
        <v/>
      </c>
    </row>
    <row r="403" customFormat="false" ht="15" hidden="false" customHeight="false" outlineLevel="0" collapsed="false">
      <c r="A403" s="0" t="str">
        <f aca="false">IF('Deal Tracker'!C403="","",COUNTIF('Deal Tracker'!$C$2:C403,'Deal Tracker'!C403))</f>
        <v/>
      </c>
      <c r="B403" s="0" t="str">
        <f aca="false">IF(A403="","",'Deal Tracker'!C403&amp;"#"&amp;A403)</f>
        <v/>
      </c>
      <c r="C403" s="0" t="str">
        <f aca="false">IF('Deal Tracker'!B403="","",'Deal Tracker'!B403)</f>
        <v/>
      </c>
      <c r="D403" s="0" t="str">
        <f aca="false">IF('Deal Tracker'!B403="","",IF('Deal Tracker'!D403="","TBD","$"&amp;TEXT('Deal Tracker'!D403,"#,##0")&amp;"M"))</f>
        <v/>
      </c>
      <c r="E403" s="0" t="str">
        <f aca="false">IF('Deal Tracker'!B403="","",IF(AND(F403="",G403=""),"",F403&amp;IF(OR(F403="",G403=""),"","  ·  ")&amp;G403))</f>
        <v/>
      </c>
      <c r="F403" s="0" t="str">
        <f aca="false">IF('Deal Tracker'!F403="",IF('Deal Tracker'!G403="","",'Deal Tracker'!G403),'Deal Tracker'!F403&amp;IF('Deal Tracker'!G403="","",", "&amp;'Deal Tracker'!G403))</f>
        <v/>
      </c>
      <c r="G403" s="0" t="str">
        <f aca="false">IF('Deal Tracker'!H403="","","Target: "&amp;TEXT('Deal Tracker'!H403,"mmm yyyy"))</f>
        <v/>
      </c>
    </row>
    <row r="404" customFormat="false" ht="15" hidden="false" customHeight="false" outlineLevel="0" collapsed="false">
      <c r="A404" s="0" t="str">
        <f aca="false">IF('Deal Tracker'!C404="","",COUNTIF('Deal Tracker'!$C$2:C404,'Deal Tracker'!C404))</f>
        <v/>
      </c>
      <c r="B404" s="0" t="str">
        <f aca="false">IF(A404="","",'Deal Tracker'!C404&amp;"#"&amp;A404)</f>
        <v/>
      </c>
      <c r="C404" s="0" t="str">
        <f aca="false">IF('Deal Tracker'!B404="","",'Deal Tracker'!B404)</f>
        <v/>
      </c>
      <c r="D404" s="0" t="str">
        <f aca="false">IF('Deal Tracker'!B404="","",IF('Deal Tracker'!D404="","TBD","$"&amp;TEXT('Deal Tracker'!D404,"#,##0")&amp;"M"))</f>
        <v/>
      </c>
      <c r="E404" s="0" t="str">
        <f aca="false">IF('Deal Tracker'!B404="","",IF(AND(F404="",G404=""),"",F404&amp;IF(OR(F404="",G404=""),"","  ·  ")&amp;G404))</f>
        <v/>
      </c>
      <c r="F404" s="0" t="str">
        <f aca="false">IF('Deal Tracker'!F404="",IF('Deal Tracker'!G404="","",'Deal Tracker'!G404),'Deal Tracker'!F404&amp;IF('Deal Tracker'!G404="","",", "&amp;'Deal Tracker'!G404))</f>
        <v/>
      </c>
      <c r="G404" s="0" t="str">
        <f aca="false">IF('Deal Tracker'!H404="","","Target: "&amp;TEXT('Deal Tracker'!H404,"mmm yyyy"))</f>
        <v/>
      </c>
    </row>
    <row r="405" customFormat="false" ht="15" hidden="false" customHeight="false" outlineLevel="0" collapsed="false">
      <c r="A405" s="0" t="str">
        <f aca="false">IF('Deal Tracker'!C405="","",COUNTIF('Deal Tracker'!$C$2:C405,'Deal Tracker'!C405))</f>
        <v/>
      </c>
      <c r="B405" s="0" t="str">
        <f aca="false">IF(A405="","",'Deal Tracker'!C405&amp;"#"&amp;A405)</f>
        <v/>
      </c>
      <c r="C405" s="0" t="str">
        <f aca="false">IF('Deal Tracker'!B405="","",'Deal Tracker'!B405)</f>
        <v/>
      </c>
      <c r="D405" s="0" t="str">
        <f aca="false">IF('Deal Tracker'!B405="","",IF('Deal Tracker'!D405="","TBD","$"&amp;TEXT('Deal Tracker'!D405,"#,##0")&amp;"M"))</f>
        <v/>
      </c>
      <c r="E405" s="0" t="str">
        <f aca="false">IF('Deal Tracker'!B405="","",IF(AND(F405="",G405=""),"",F405&amp;IF(OR(F405="",G405=""),"","  ·  ")&amp;G405))</f>
        <v/>
      </c>
      <c r="F405" s="0" t="str">
        <f aca="false">IF('Deal Tracker'!F405="",IF('Deal Tracker'!G405="","",'Deal Tracker'!G405),'Deal Tracker'!F405&amp;IF('Deal Tracker'!G405="","",", "&amp;'Deal Tracker'!G405))</f>
        <v/>
      </c>
      <c r="G405" s="0" t="str">
        <f aca="false">IF('Deal Tracker'!H405="","","Target: "&amp;TEXT('Deal Tracker'!H405,"mmm yyyy"))</f>
        <v/>
      </c>
    </row>
    <row r="406" customFormat="false" ht="15" hidden="false" customHeight="false" outlineLevel="0" collapsed="false">
      <c r="A406" s="0" t="str">
        <f aca="false">IF('Deal Tracker'!C406="","",COUNTIF('Deal Tracker'!$C$2:C406,'Deal Tracker'!C406))</f>
        <v/>
      </c>
      <c r="B406" s="0" t="str">
        <f aca="false">IF(A406="","",'Deal Tracker'!C406&amp;"#"&amp;A406)</f>
        <v/>
      </c>
      <c r="C406" s="0" t="str">
        <f aca="false">IF('Deal Tracker'!B406="","",'Deal Tracker'!B406)</f>
        <v/>
      </c>
      <c r="D406" s="0" t="str">
        <f aca="false">IF('Deal Tracker'!B406="","",IF('Deal Tracker'!D406="","TBD","$"&amp;TEXT('Deal Tracker'!D406,"#,##0")&amp;"M"))</f>
        <v/>
      </c>
      <c r="E406" s="0" t="str">
        <f aca="false">IF('Deal Tracker'!B406="","",IF(AND(F406="",G406=""),"",F406&amp;IF(OR(F406="",G406=""),"","  ·  ")&amp;G406))</f>
        <v/>
      </c>
      <c r="F406" s="0" t="str">
        <f aca="false">IF('Deal Tracker'!F406="",IF('Deal Tracker'!G406="","",'Deal Tracker'!G406),'Deal Tracker'!F406&amp;IF('Deal Tracker'!G406="","",", "&amp;'Deal Tracker'!G406))</f>
        <v/>
      </c>
      <c r="G406" s="0" t="str">
        <f aca="false">IF('Deal Tracker'!H406="","","Target: "&amp;TEXT('Deal Tracker'!H406,"mmm yyyy"))</f>
        <v/>
      </c>
    </row>
    <row r="407" customFormat="false" ht="15" hidden="false" customHeight="false" outlineLevel="0" collapsed="false">
      <c r="A407" s="0" t="str">
        <f aca="false">IF('Deal Tracker'!C407="","",COUNTIF('Deal Tracker'!$C$2:C407,'Deal Tracker'!C407))</f>
        <v/>
      </c>
      <c r="B407" s="0" t="str">
        <f aca="false">IF(A407="","",'Deal Tracker'!C407&amp;"#"&amp;A407)</f>
        <v/>
      </c>
      <c r="C407" s="0" t="str">
        <f aca="false">IF('Deal Tracker'!B407="","",'Deal Tracker'!B407)</f>
        <v/>
      </c>
      <c r="D407" s="0" t="str">
        <f aca="false">IF('Deal Tracker'!B407="","",IF('Deal Tracker'!D407="","TBD","$"&amp;TEXT('Deal Tracker'!D407,"#,##0")&amp;"M"))</f>
        <v/>
      </c>
      <c r="E407" s="0" t="str">
        <f aca="false">IF('Deal Tracker'!B407="","",IF(AND(F407="",G407=""),"",F407&amp;IF(OR(F407="",G407=""),"","  ·  ")&amp;G407))</f>
        <v/>
      </c>
      <c r="F407" s="0" t="str">
        <f aca="false">IF('Deal Tracker'!F407="",IF('Deal Tracker'!G407="","",'Deal Tracker'!G407),'Deal Tracker'!F407&amp;IF('Deal Tracker'!G407="","",", "&amp;'Deal Tracker'!G407))</f>
        <v/>
      </c>
      <c r="G407" s="0" t="str">
        <f aca="false">IF('Deal Tracker'!H407="","","Target: "&amp;TEXT('Deal Tracker'!H407,"mmm yyyy"))</f>
        <v/>
      </c>
    </row>
    <row r="408" customFormat="false" ht="15" hidden="false" customHeight="false" outlineLevel="0" collapsed="false">
      <c r="A408" s="0" t="str">
        <f aca="false">IF('Deal Tracker'!C408="","",COUNTIF('Deal Tracker'!$C$2:C408,'Deal Tracker'!C408))</f>
        <v/>
      </c>
      <c r="B408" s="0" t="str">
        <f aca="false">IF(A408="","",'Deal Tracker'!C408&amp;"#"&amp;A408)</f>
        <v/>
      </c>
      <c r="C408" s="0" t="str">
        <f aca="false">IF('Deal Tracker'!B408="","",'Deal Tracker'!B408)</f>
        <v/>
      </c>
      <c r="D408" s="0" t="str">
        <f aca="false">IF('Deal Tracker'!B408="","",IF('Deal Tracker'!D408="","TBD","$"&amp;TEXT('Deal Tracker'!D408,"#,##0")&amp;"M"))</f>
        <v/>
      </c>
      <c r="E408" s="0" t="str">
        <f aca="false">IF('Deal Tracker'!B408="","",IF(AND(F408="",G408=""),"",F408&amp;IF(OR(F408="",G408=""),"","  ·  ")&amp;G408))</f>
        <v/>
      </c>
      <c r="F408" s="0" t="str">
        <f aca="false">IF('Deal Tracker'!F408="",IF('Deal Tracker'!G408="","",'Deal Tracker'!G408),'Deal Tracker'!F408&amp;IF('Deal Tracker'!G408="","",", "&amp;'Deal Tracker'!G408))</f>
        <v/>
      </c>
      <c r="G408" s="0" t="str">
        <f aca="false">IF('Deal Tracker'!H408="","","Target: "&amp;TEXT('Deal Tracker'!H408,"mmm yyyy"))</f>
        <v/>
      </c>
    </row>
    <row r="409" customFormat="false" ht="15" hidden="false" customHeight="false" outlineLevel="0" collapsed="false">
      <c r="A409" s="0" t="str">
        <f aca="false">IF('Deal Tracker'!C409="","",COUNTIF('Deal Tracker'!$C$2:C409,'Deal Tracker'!C409))</f>
        <v/>
      </c>
      <c r="B409" s="0" t="str">
        <f aca="false">IF(A409="","",'Deal Tracker'!C409&amp;"#"&amp;A409)</f>
        <v/>
      </c>
      <c r="C409" s="0" t="str">
        <f aca="false">IF('Deal Tracker'!B409="","",'Deal Tracker'!B409)</f>
        <v/>
      </c>
      <c r="D409" s="0" t="str">
        <f aca="false">IF('Deal Tracker'!B409="","",IF('Deal Tracker'!D409="","TBD","$"&amp;TEXT('Deal Tracker'!D409,"#,##0")&amp;"M"))</f>
        <v/>
      </c>
      <c r="E409" s="0" t="str">
        <f aca="false">IF('Deal Tracker'!B409="","",IF(AND(F409="",G409=""),"",F409&amp;IF(OR(F409="",G409=""),"","  ·  ")&amp;G409))</f>
        <v/>
      </c>
      <c r="F409" s="0" t="str">
        <f aca="false">IF('Deal Tracker'!F409="",IF('Deal Tracker'!G409="","",'Deal Tracker'!G409),'Deal Tracker'!F409&amp;IF('Deal Tracker'!G409="","",", "&amp;'Deal Tracker'!G409))</f>
        <v/>
      </c>
      <c r="G409" s="0" t="str">
        <f aca="false">IF('Deal Tracker'!H409="","","Target: "&amp;TEXT('Deal Tracker'!H409,"mmm yyyy"))</f>
        <v/>
      </c>
    </row>
    <row r="410" customFormat="false" ht="15" hidden="false" customHeight="false" outlineLevel="0" collapsed="false">
      <c r="A410" s="0" t="str">
        <f aca="false">IF('Deal Tracker'!C410="","",COUNTIF('Deal Tracker'!$C$2:C410,'Deal Tracker'!C410))</f>
        <v/>
      </c>
      <c r="B410" s="0" t="str">
        <f aca="false">IF(A410="","",'Deal Tracker'!C410&amp;"#"&amp;A410)</f>
        <v/>
      </c>
      <c r="C410" s="0" t="str">
        <f aca="false">IF('Deal Tracker'!B410="","",'Deal Tracker'!B410)</f>
        <v/>
      </c>
      <c r="D410" s="0" t="str">
        <f aca="false">IF('Deal Tracker'!B410="","",IF('Deal Tracker'!D410="","TBD","$"&amp;TEXT('Deal Tracker'!D410,"#,##0")&amp;"M"))</f>
        <v/>
      </c>
      <c r="E410" s="0" t="str">
        <f aca="false">IF('Deal Tracker'!B410="","",IF(AND(F410="",G410=""),"",F410&amp;IF(OR(F410="",G410=""),"","  ·  ")&amp;G410))</f>
        <v/>
      </c>
      <c r="F410" s="0" t="str">
        <f aca="false">IF('Deal Tracker'!F410="",IF('Deal Tracker'!G410="","",'Deal Tracker'!G410),'Deal Tracker'!F410&amp;IF('Deal Tracker'!G410="","",", "&amp;'Deal Tracker'!G410))</f>
        <v/>
      </c>
      <c r="G410" s="0" t="str">
        <f aca="false">IF('Deal Tracker'!H410="","","Target: "&amp;TEXT('Deal Tracker'!H410,"mmm yyyy"))</f>
        <v/>
      </c>
    </row>
    <row r="411" customFormat="false" ht="15" hidden="false" customHeight="false" outlineLevel="0" collapsed="false">
      <c r="A411" s="0" t="str">
        <f aca="false">IF('Deal Tracker'!C411="","",COUNTIF('Deal Tracker'!$C$2:C411,'Deal Tracker'!C411))</f>
        <v/>
      </c>
      <c r="B411" s="0" t="str">
        <f aca="false">IF(A411="","",'Deal Tracker'!C411&amp;"#"&amp;A411)</f>
        <v/>
      </c>
      <c r="C411" s="0" t="str">
        <f aca="false">IF('Deal Tracker'!B411="","",'Deal Tracker'!B411)</f>
        <v/>
      </c>
      <c r="D411" s="0" t="str">
        <f aca="false">IF('Deal Tracker'!B411="","",IF('Deal Tracker'!D411="","TBD","$"&amp;TEXT('Deal Tracker'!D411,"#,##0")&amp;"M"))</f>
        <v/>
      </c>
      <c r="E411" s="0" t="str">
        <f aca="false">IF('Deal Tracker'!B411="","",IF(AND(F411="",G411=""),"",F411&amp;IF(OR(F411="",G411=""),"","  ·  ")&amp;G411))</f>
        <v/>
      </c>
      <c r="F411" s="0" t="str">
        <f aca="false">IF('Deal Tracker'!F411="",IF('Deal Tracker'!G411="","",'Deal Tracker'!G411),'Deal Tracker'!F411&amp;IF('Deal Tracker'!G411="","",", "&amp;'Deal Tracker'!G411))</f>
        <v/>
      </c>
      <c r="G411" s="0" t="str">
        <f aca="false">IF('Deal Tracker'!H411="","","Target: "&amp;TEXT('Deal Tracker'!H411,"mmm yyyy"))</f>
        <v/>
      </c>
    </row>
    <row r="412" customFormat="false" ht="15" hidden="false" customHeight="false" outlineLevel="0" collapsed="false">
      <c r="A412" s="0" t="str">
        <f aca="false">IF('Deal Tracker'!C412="","",COUNTIF('Deal Tracker'!$C$2:C412,'Deal Tracker'!C412))</f>
        <v/>
      </c>
      <c r="B412" s="0" t="str">
        <f aca="false">IF(A412="","",'Deal Tracker'!C412&amp;"#"&amp;A412)</f>
        <v/>
      </c>
      <c r="C412" s="0" t="str">
        <f aca="false">IF('Deal Tracker'!B412="","",'Deal Tracker'!B412)</f>
        <v/>
      </c>
      <c r="D412" s="0" t="str">
        <f aca="false">IF('Deal Tracker'!B412="","",IF('Deal Tracker'!D412="","TBD","$"&amp;TEXT('Deal Tracker'!D412,"#,##0")&amp;"M"))</f>
        <v/>
      </c>
      <c r="E412" s="0" t="str">
        <f aca="false">IF('Deal Tracker'!B412="","",IF(AND(F412="",G412=""),"",F412&amp;IF(OR(F412="",G412=""),"","  ·  ")&amp;G412))</f>
        <v/>
      </c>
      <c r="F412" s="0" t="str">
        <f aca="false">IF('Deal Tracker'!F412="",IF('Deal Tracker'!G412="","",'Deal Tracker'!G412),'Deal Tracker'!F412&amp;IF('Deal Tracker'!G412="","",", "&amp;'Deal Tracker'!G412))</f>
        <v/>
      </c>
      <c r="G412" s="0" t="str">
        <f aca="false">IF('Deal Tracker'!H412="","","Target: "&amp;TEXT('Deal Tracker'!H412,"mmm yyyy"))</f>
        <v/>
      </c>
    </row>
    <row r="413" customFormat="false" ht="15" hidden="false" customHeight="false" outlineLevel="0" collapsed="false">
      <c r="A413" s="0" t="str">
        <f aca="false">IF('Deal Tracker'!C413="","",COUNTIF('Deal Tracker'!$C$2:C413,'Deal Tracker'!C413))</f>
        <v/>
      </c>
      <c r="B413" s="0" t="str">
        <f aca="false">IF(A413="","",'Deal Tracker'!C413&amp;"#"&amp;A413)</f>
        <v/>
      </c>
      <c r="C413" s="0" t="str">
        <f aca="false">IF('Deal Tracker'!B413="","",'Deal Tracker'!B413)</f>
        <v/>
      </c>
      <c r="D413" s="0" t="str">
        <f aca="false">IF('Deal Tracker'!B413="","",IF('Deal Tracker'!D413="","TBD","$"&amp;TEXT('Deal Tracker'!D413,"#,##0")&amp;"M"))</f>
        <v/>
      </c>
      <c r="E413" s="0" t="str">
        <f aca="false">IF('Deal Tracker'!B413="","",IF(AND(F413="",G413=""),"",F413&amp;IF(OR(F413="",G413=""),"","  ·  ")&amp;G413))</f>
        <v/>
      </c>
      <c r="F413" s="0" t="str">
        <f aca="false">IF('Deal Tracker'!F413="",IF('Deal Tracker'!G413="","",'Deal Tracker'!G413),'Deal Tracker'!F413&amp;IF('Deal Tracker'!G413="","",", "&amp;'Deal Tracker'!G413))</f>
        <v/>
      </c>
      <c r="G413" s="0" t="str">
        <f aca="false">IF('Deal Tracker'!H413="","","Target: "&amp;TEXT('Deal Tracker'!H413,"mmm yyyy"))</f>
        <v/>
      </c>
    </row>
    <row r="414" customFormat="false" ht="15" hidden="false" customHeight="false" outlineLevel="0" collapsed="false">
      <c r="A414" s="0" t="str">
        <f aca="false">IF('Deal Tracker'!C414="","",COUNTIF('Deal Tracker'!$C$2:C414,'Deal Tracker'!C414))</f>
        <v/>
      </c>
      <c r="B414" s="0" t="str">
        <f aca="false">IF(A414="","",'Deal Tracker'!C414&amp;"#"&amp;A414)</f>
        <v/>
      </c>
      <c r="C414" s="0" t="str">
        <f aca="false">IF('Deal Tracker'!B414="","",'Deal Tracker'!B414)</f>
        <v/>
      </c>
      <c r="D414" s="0" t="str">
        <f aca="false">IF('Deal Tracker'!B414="","",IF('Deal Tracker'!D414="","TBD","$"&amp;TEXT('Deal Tracker'!D414,"#,##0")&amp;"M"))</f>
        <v/>
      </c>
      <c r="E414" s="0" t="str">
        <f aca="false">IF('Deal Tracker'!B414="","",IF(AND(F414="",G414=""),"",F414&amp;IF(OR(F414="",G414=""),"","  ·  ")&amp;G414))</f>
        <v/>
      </c>
      <c r="F414" s="0" t="str">
        <f aca="false">IF('Deal Tracker'!F414="",IF('Deal Tracker'!G414="","",'Deal Tracker'!G414),'Deal Tracker'!F414&amp;IF('Deal Tracker'!G414="","",", "&amp;'Deal Tracker'!G414))</f>
        <v/>
      </c>
      <c r="G414" s="0" t="str">
        <f aca="false">IF('Deal Tracker'!H414="","","Target: "&amp;TEXT('Deal Tracker'!H414,"mmm yyyy"))</f>
        <v/>
      </c>
    </row>
    <row r="415" customFormat="false" ht="15" hidden="false" customHeight="false" outlineLevel="0" collapsed="false">
      <c r="A415" s="0" t="str">
        <f aca="false">IF('Deal Tracker'!C415="","",COUNTIF('Deal Tracker'!$C$2:C415,'Deal Tracker'!C415))</f>
        <v/>
      </c>
      <c r="B415" s="0" t="str">
        <f aca="false">IF(A415="","",'Deal Tracker'!C415&amp;"#"&amp;A415)</f>
        <v/>
      </c>
      <c r="C415" s="0" t="str">
        <f aca="false">IF('Deal Tracker'!B415="","",'Deal Tracker'!B415)</f>
        <v/>
      </c>
      <c r="D415" s="0" t="str">
        <f aca="false">IF('Deal Tracker'!B415="","",IF('Deal Tracker'!D415="","TBD","$"&amp;TEXT('Deal Tracker'!D415,"#,##0")&amp;"M"))</f>
        <v/>
      </c>
      <c r="E415" s="0" t="str">
        <f aca="false">IF('Deal Tracker'!B415="","",IF(AND(F415="",G415=""),"",F415&amp;IF(OR(F415="",G415=""),"","  ·  ")&amp;G415))</f>
        <v/>
      </c>
      <c r="F415" s="0" t="str">
        <f aca="false">IF('Deal Tracker'!F415="",IF('Deal Tracker'!G415="","",'Deal Tracker'!G415),'Deal Tracker'!F415&amp;IF('Deal Tracker'!G415="","",", "&amp;'Deal Tracker'!G415))</f>
        <v/>
      </c>
      <c r="G415" s="0" t="str">
        <f aca="false">IF('Deal Tracker'!H415="","","Target: "&amp;TEXT('Deal Tracker'!H415,"mmm yyyy"))</f>
        <v/>
      </c>
    </row>
    <row r="416" customFormat="false" ht="15" hidden="false" customHeight="false" outlineLevel="0" collapsed="false">
      <c r="A416" s="0" t="str">
        <f aca="false">IF('Deal Tracker'!C416="","",COUNTIF('Deal Tracker'!$C$2:C416,'Deal Tracker'!C416))</f>
        <v/>
      </c>
      <c r="B416" s="0" t="str">
        <f aca="false">IF(A416="","",'Deal Tracker'!C416&amp;"#"&amp;A416)</f>
        <v/>
      </c>
      <c r="C416" s="0" t="str">
        <f aca="false">IF('Deal Tracker'!B416="","",'Deal Tracker'!B416)</f>
        <v/>
      </c>
      <c r="D416" s="0" t="str">
        <f aca="false">IF('Deal Tracker'!B416="","",IF('Deal Tracker'!D416="","TBD","$"&amp;TEXT('Deal Tracker'!D416,"#,##0")&amp;"M"))</f>
        <v/>
      </c>
      <c r="E416" s="0" t="str">
        <f aca="false">IF('Deal Tracker'!B416="","",IF(AND(F416="",G416=""),"",F416&amp;IF(OR(F416="",G416=""),"","  ·  ")&amp;G416))</f>
        <v/>
      </c>
      <c r="F416" s="0" t="str">
        <f aca="false">IF('Deal Tracker'!F416="",IF('Deal Tracker'!G416="","",'Deal Tracker'!G416),'Deal Tracker'!F416&amp;IF('Deal Tracker'!G416="","",", "&amp;'Deal Tracker'!G416))</f>
        <v/>
      </c>
      <c r="G416" s="0" t="str">
        <f aca="false">IF('Deal Tracker'!H416="","","Target: "&amp;TEXT('Deal Tracker'!H416,"mmm yyyy"))</f>
        <v/>
      </c>
    </row>
    <row r="417" customFormat="false" ht="15" hidden="false" customHeight="false" outlineLevel="0" collapsed="false">
      <c r="A417" s="0" t="str">
        <f aca="false">IF('Deal Tracker'!C417="","",COUNTIF('Deal Tracker'!$C$2:C417,'Deal Tracker'!C417))</f>
        <v/>
      </c>
      <c r="B417" s="0" t="str">
        <f aca="false">IF(A417="","",'Deal Tracker'!C417&amp;"#"&amp;A417)</f>
        <v/>
      </c>
      <c r="C417" s="0" t="str">
        <f aca="false">IF('Deal Tracker'!B417="","",'Deal Tracker'!B417)</f>
        <v/>
      </c>
      <c r="D417" s="0" t="str">
        <f aca="false">IF('Deal Tracker'!B417="","",IF('Deal Tracker'!D417="","TBD","$"&amp;TEXT('Deal Tracker'!D417,"#,##0")&amp;"M"))</f>
        <v/>
      </c>
      <c r="E417" s="0" t="str">
        <f aca="false">IF('Deal Tracker'!B417="","",IF(AND(F417="",G417=""),"",F417&amp;IF(OR(F417="",G417=""),"","  ·  ")&amp;G417))</f>
        <v/>
      </c>
      <c r="F417" s="0" t="str">
        <f aca="false">IF('Deal Tracker'!F417="",IF('Deal Tracker'!G417="","",'Deal Tracker'!G417),'Deal Tracker'!F417&amp;IF('Deal Tracker'!G417="","",", "&amp;'Deal Tracker'!G417))</f>
        <v/>
      </c>
      <c r="G417" s="0" t="str">
        <f aca="false">IF('Deal Tracker'!H417="","","Target: "&amp;TEXT('Deal Tracker'!H417,"mmm yyyy"))</f>
        <v/>
      </c>
    </row>
    <row r="418" customFormat="false" ht="15" hidden="false" customHeight="false" outlineLevel="0" collapsed="false">
      <c r="A418" s="0" t="str">
        <f aca="false">IF('Deal Tracker'!C418="","",COUNTIF('Deal Tracker'!$C$2:C418,'Deal Tracker'!C418))</f>
        <v/>
      </c>
      <c r="B418" s="0" t="str">
        <f aca="false">IF(A418="","",'Deal Tracker'!C418&amp;"#"&amp;A418)</f>
        <v/>
      </c>
      <c r="C418" s="0" t="str">
        <f aca="false">IF('Deal Tracker'!B418="","",'Deal Tracker'!B418)</f>
        <v/>
      </c>
      <c r="D418" s="0" t="str">
        <f aca="false">IF('Deal Tracker'!B418="","",IF('Deal Tracker'!D418="","TBD","$"&amp;TEXT('Deal Tracker'!D418,"#,##0")&amp;"M"))</f>
        <v/>
      </c>
      <c r="E418" s="0" t="str">
        <f aca="false">IF('Deal Tracker'!B418="","",IF(AND(F418="",G418=""),"",F418&amp;IF(OR(F418="",G418=""),"","  ·  ")&amp;G418))</f>
        <v/>
      </c>
      <c r="F418" s="0" t="str">
        <f aca="false">IF('Deal Tracker'!F418="",IF('Deal Tracker'!G418="","",'Deal Tracker'!G418),'Deal Tracker'!F418&amp;IF('Deal Tracker'!G418="","",", "&amp;'Deal Tracker'!G418))</f>
        <v/>
      </c>
      <c r="G418" s="0" t="str">
        <f aca="false">IF('Deal Tracker'!H418="","","Target: "&amp;TEXT('Deal Tracker'!H418,"mmm yyyy"))</f>
        <v/>
      </c>
    </row>
    <row r="419" customFormat="false" ht="15" hidden="false" customHeight="false" outlineLevel="0" collapsed="false">
      <c r="A419" s="0" t="str">
        <f aca="false">IF('Deal Tracker'!C419="","",COUNTIF('Deal Tracker'!$C$2:C419,'Deal Tracker'!C419))</f>
        <v/>
      </c>
      <c r="B419" s="0" t="str">
        <f aca="false">IF(A419="","",'Deal Tracker'!C419&amp;"#"&amp;A419)</f>
        <v/>
      </c>
      <c r="C419" s="0" t="str">
        <f aca="false">IF('Deal Tracker'!B419="","",'Deal Tracker'!B419)</f>
        <v/>
      </c>
      <c r="D419" s="0" t="str">
        <f aca="false">IF('Deal Tracker'!B419="","",IF('Deal Tracker'!D419="","TBD","$"&amp;TEXT('Deal Tracker'!D419,"#,##0")&amp;"M"))</f>
        <v/>
      </c>
      <c r="E419" s="0" t="str">
        <f aca="false">IF('Deal Tracker'!B419="","",IF(AND(F419="",G419=""),"",F419&amp;IF(OR(F419="",G419=""),"","  ·  ")&amp;G419))</f>
        <v/>
      </c>
      <c r="F419" s="0" t="str">
        <f aca="false">IF('Deal Tracker'!F419="",IF('Deal Tracker'!G419="","",'Deal Tracker'!G419),'Deal Tracker'!F419&amp;IF('Deal Tracker'!G419="","",", "&amp;'Deal Tracker'!G419))</f>
        <v/>
      </c>
      <c r="G419" s="0" t="str">
        <f aca="false">IF('Deal Tracker'!H419="","","Target: "&amp;TEXT('Deal Tracker'!H419,"mmm yyyy"))</f>
        <v/>
      </c>
    </row>
    <row r="420" customFormat="false" ht="15" hidden="false" customHeight="false" outlineLevel="0" collapsed="false">
      <c r="A420" s="0" t="str">
        <f aca="false">IF('Deal Tracker'!C420="","",COUNTIF('Deal Tracker'!$C$2:C420,'Deal Tracker'!C420))</f>
        <v/>
      </c>
      <c r="B420" s="0" t="str">
        <f aca="false">IF(A420="","",'Deal Tracker'!C420&amp;"#"&amp;A420)</f>
        <v/>
      </c>
      <c r="C420" s="0" t="str">
        <f aca="false">IF('Deal Tracker'!B420="","",'Deal Tracker'!B420)</f>
        <v/>
      </c>
      <c r="D420" s="0" t="str">
        <f aca="false">IF('Deal Tracker'!B420="","",IF('Deal Tracker'!D420="","TBD","$"&amp;TEXT('Deal Tracker'!D420,"#,##0")&amp;"M"))</f>
        <v/>
      </c>
      <c r="E420" s="0" t="str">
        <f aca="false">IF('Deal Tracker'!B420="","",IF(AND(F420="",G420=""),"",F420&amp;IF(OR(F420="",G420=""),"","  ·  ")&amp;G420))</f>
        <v/>
      </c>
      <c r="F420" s="0" t="str">
        <f aca="false">IF('Deal Tracker'!F420="",IF('Deal Tracker'!G420="","",'Deal Tracker'!G420),'Deal Tracker'!F420&amp;IF('Deal Tracker'!G420="","",", "&amp;'Deal Tracker'!G420))</f>
        <v/>
      </c>
      <c r="G420" s="0" t="str">
        <f aca="false">IF('Deal Tracker'!H420="","","Target: "&amp;TEXT('Deal Tracker'!H420,"mmm yyyy"))</f>
        <v/>
      </c>
    </row>
    <row r="421" customFormat="false" ht="15" hidden="false" customHeight="false" outlineLevel="0" collapsed="false">
      <c r="A421" s="0" t="str">
        <f aca="false">IF('Deal Tracker'!C421="","",COUNTIF('Deal Tracker'!$C$2:C421,'Deal Tracker'!C421))</f>
        <v/>
      </c>
      <c r="B421" s="0" t="str">
        <f aca="false">IF(A421="","",'Deal Tracker'!C421&amp;"#"&amp;A421)</f>
        <v/>
      </c>
      <c r="C421" s="0" t="str">
        <f aca="false">IF('Deal Tracker'!B421="","",'Deal Tracker'!B421)</f>
        <v/>
      </c>
      <c r="D421" s="0" t="str">
        <f aca="false">IF('Deal Tracker'!B421="","",IF('Deal Tracker'!D421="","TBD","$"&amp;TEXT('Deal Tracker'!D421,"#,##0")&amp;"M"))</f>
        <v/>
      </c>
      <c r="E421" s="0" t="str">
        <f aca="false">IF('Deal Tracker'!B421="","",IF(AND(F421="",G421=""),"",F421&amp;IF(OR(F421="",G421=""),"","  ·  ")&amp;G421))</f>
        <v/>
      </c>
      <c r="F421" s="0" t="str">
        <f aca="false">IF('Deal Tracker'!F421="",IF('Deal Tracker'!G421="","",'Deal Tracker'!G421),'Deal Tracker'!F421&amp;IF('Deal Tracker'!G421="","",", "&amp;'Deal Tracker'!G421))</f>
        <v/>
      </c>
      <c r="G421" s="0" t="str">
        <f aca="false">IF('Deal Tracker'!H421="","","Target: "&amp;TEXT('Deal Tracker'!H421,"mmm yyyy"))</f>
        <v/>
      </c>
    </row>
    <row r="422" customFormat="false" ht="15" hidden="false" customHeight="false" outlineLevel="0" collapsed="false">
      <c r="A422" s="0" t="str">
        <f aca="false">IF('Deal Tracker'!C422="","",COUNTIF('Deal Tracker'!$C$2:C422,'Deal Tracker'!C422))</f>
        <v/>
      </c>
      <c r="B422" s="0" t="str">
        <f aca="false">IF(A422="","",'Deal Tracker'!C422&amp;"#"&amp;A422)</f>
        <v/>
      </c>
      <c r="C422" s="0" t="str">
        <f aca="false">IF('Deal Tracker'!B422="","",'Deal Tracker'!B422)</f>
        <v/>
      </c>
      <c r="D422" s="0" t="str">
        <f aca="false">IF('Deal Tracker'!B422="","",IF('Deal Tracker'!D422="","TBD","$"&amp;TEXT('Deal Tracker'!D422,"#,##0")&amp;"M"))</f>
        <v/>
      </c>
      <c r="E422" s="0" t="str">
        <f aca="false">IF('Deal Tracker'!B422="","",IF(AND(F422="",G422=""),"",F422&amp;IF(OR(F422="",G422=""),"","  ·  ")&amp;G422))</f>
        <v/>
      </c>
      <c r="F422" s="0" t="str">
        <f aca="false">IF('Deal Tracker'!F422="",IF('Deal Tracker'!G422="","",'Deal Tracker'!G422),'Deal Tracker'!F422&amp;IF('Deal Tracker'!G422="","",", "&amp;'Deal Tracker'!G422))</f>
        <v/>
      </c>
      <c r="G422" s="0" t="str">
        <f aca="false">IF('Deal Tracker'!H422="","","Target: "&amp;TEXT('Deal Tracker'!H422,"mmm yyyy"))</f>
        <v/>
      </c>
    </row>
    <row r="423" customFormat="false" ht="15" hidden="false" customHeight="false" outlineLevel="0" collapsed="false">
      <c r="A423" s="0" t="str">
        <f aca="false">IF('Deal Tracker'!C423="","",COUNTIF('Deal Tracker'!$C$2:C423,'Deal Tracker'!C423))</f>
        <v/>
      </c>
      <c r="B423" s="0" t="str">
        <f aca="false">IF(A423="","",'Deal Tracker'!C423&amp;"#"&amp;A423)</f>
        <v/>
      </c>
      <c r="C423" s="0" t="str">
        <f aca="false">IF('Deal Tracker'!B423="","",'Deal Tracker'!B423)</f>
        <v/>
      </c>
      <c r="D423" s="0" t="str">
        <f aca="false">IF('Deal Tracker'!B423="","",IF('Deal Tracker'!D423="","TBD","$"&amp;TEXT('Deal Tracker'!D423,"#,##0")&amp;"M"))</f>
        <v/>
      </c>
      <c r="E423" s="0" t="str">
        <f aca="false">IF('Deal Tracker'!B423="","",IF(AND(F423="",G423=""),"",F423&amp;IF(OR(F423="",G423=""),"","  ·  ")&amp;G423))</f>
        <v/>
      </c>
      <c r="F423" s="0" t="str">
        <f aca="false">IF('Deal Tracker'!F423="",IF('Deal Tracker'!G423="","",'Deal Tracker'!G423),'Deal Tracker'!F423&amp;IF('Deal Tracker'!G423="","",", "&amp;'Deal Tracker'!G423))</f>
        <v/>
      </c>
      <c r="G423" s="0" t="str">
        <f aca="false">IF('Deal Tracker'!H423="","","Target: "&amp;TEXT('Deal Tracker'!H423,"mmm yyyy"))</f>
        <v/>
      </c>
    </row>
    <row r="424" customFormat="false" ht="15" hidden="false" customHeight="false" outlineLevel="0" collapsed="false">
      <c r="A424" s="0" t="str">
        <f aca="false">IF('Deal Tracker'!C424="","",COUNTIF('Deal Tracker'!$C$2:C424,'Deal Tracker'!C424))</f>
        <v/>
      </c>
      <c r="B424" s="0" t="str">
        <f aca="false">IF(A424="","",'Deal Tracker'!C424&amp;"#"&amp;A424)</f>
        <v/>
      </c>
      <c r="C424" s="0" t="str">
        <f aca="false">IF('Deal Tracker'!B424="","",'Deal Tracker'!B424)</f>
        <v/>
      </c>
      <c r="D424" s="0" t="str">
        <f aca="false">IF('Deal Tracker'!B424="","",IF('Deal Tracker'!D424="","TBD","$"&amp;TEXT('Deal Tracker'!D424,"#,##0")&amp;"M"))</f>
        <v/>
      </c>
      <c r="E424" s="0" t="str">
        <f aca="false">IF('Deal Tracker'!B424="","",IF(AND(F424="",G424=""),"",F424&amp;IF(OR(F424="",G424=""),"","  ·  ")&amp;G424))</f>
        <v/>
      </c>
      <c r="F424" s="0" t="str">
        <f aca="false">IF('Deal Tracker'!F424="",IF('Deal Tracker'!G424="","",'Deal Tracker'!G424),'Deal Tracker'!F424&amp;IF('Deal Tracker'!G424="","",", "&amp;'Deal Tracker'!G424))</f>
        <v/>
      </c>
      <c r="G424" s="0" t="str">
        <f aca="false">IF('Deal Tracker'!H424="","","Target: "&amp;TEXT('Deal Tracker'!H424,"mmm yyyy"))</f>
        <v/>
      </c>
    </row>
    <row r="425" customFormat="false" ht="15" hidden="false" customHeight="false" outlineLevel="0" collapsed="false">
      <c r="A425" s="0" t="str">
        <f aca="false">IF('Deal Tracker'!C425="","",COUNTIF('Deal Tracker'!$C$2:C425,'Deal Tracker'!C425))</f>
        <v/>
      </c>
      <c r="B425" s="0" t="str">
        <f aca="false">IF(A425="","",'Deal Tracker'!C425&amp;"#"&amp;A425)</f>
        <v/>
      </c>
      <c r="C425" s="0" t="str">
        <f aca="false">IF('Deal Tracker'!B425="","",'Deal Tracker'!B425)</f>
        <v/>
      </c>
      <c r="D425" s="0" t="str">
        <f aca="false">IF('Deal Tracker'!B425="","",IF('Deal Tracker'!D425="","TBD","$"&amp;TEXT('Deal Tracker'!D425,"#,##0")&amp;"M"))</f>
        <v/>
      </c>
      <c r="E425" s="0" t="str">
        <f aca="false">IF('Deal Tracker'!B425="","",IF(AND(F425="",G425=""),"",F425&amp;IF(OR(F425="",G425=""),"","  ·  ")&amp;G425))</f>
        <v/>
      </c>
      <c r="F425" s="0" t="str">
        <f aca="false">IF('Deal Tracker'!F425="",IF('Deal Tracker'!G425="","",'Deal Tracker'!G425),'Deal Tracker'!F425&amp;IF('Deal Tracker'!G425="","",", "&amp;'Deal Tracker'!G425))</f>
        <v/>
      </c>
      <c r="G425" s="0" t="str">
        <f aca="false">IF('Deal Tracker'!H425="","","Target: "&amp;TEXT('Deal Tracker'!H425,"mmm yyyy"))</f>
        <v/>
      </c>
    </row>
    <row r="426" customFormat="false" ht="15" hidden="false" customHeight="false" outlineLevel="0" collapsed="false">
      <c r="A426" s="0" t="str">
        <f aca="false">IF('Deal Tracker'!C426="","",COUNTIF('Deal Tracker'!$C$2:C426,'Deal Tracker'!C426))</f>
        <v/>
      </c>
      <c r="B426" s="0" t="str">
        <f aca="false">IF(A426="","",'Deal Tracker'!C426&amp;"#"&amp;A426)</f>
        <v/>
      </c>
      <c r="C426" s="0" t="str">
        <f aca="false">IF('Deal Tracker'!B426="","",'Deal Tracker'!B426)</f>
        <v/>
      </c>
      <c r="D426" s="0" t="str">
        <f aca="false">IF('Deal Tracker'!B426="","",IF('Deal Tracker'!D426="","TBD","$"&amp;TEXT('Deal Tracker'!D426,"#,##0")&amp;"M"))</f>
        <v/>
      </c>
      <c r="E426" s="0" t="str">
        <f aca="false">IF('Deal Tracker'!B426="","",IF(AND(F426="",G426=""),"",F426&amp;IF(OR(F426="",G426=""),"","  ·  ")&amp;G426))</f>
        <v/>
      </c>
      <c r="F426" s="0" t="str">
        <f aca="false">IF('Deal Tracker'!F426="",IF('Deal Tracker'!G426="","",'Deal Tracker'!G426),'Deal Tracker'!F426&amp;IF('Deal Tracker'!G426="","",", "&amp;'Deal Tracker'!G426))</f>
        <v/>
      </c>
      <c r="G426" s="0" t="str">
        <f aca="false">IF('Deal Tracker'!H426="","","Target: "&amp;TEXT('Deal Tracker'!H426,"mmm yyyy"))</f>
        <v/>
      </c>
    </row>
    <row r="427" customFormat="false" ht="15" hidden="false" customHeight="false" outlineLevel="0" collapsed="false">
      <c r="A427" s="0" t="str">
        <f aca="false">IF('Deal Tracker'!C427="","",COUNTIF('Deal Tracker'!$C$2:C427,'Deal Tracker'!C427))</f>
        <v/>
      </c>
      <c r="B427" s="0" t="str">
        <f aca="false">IF(A427="","",'Deal Tracker'!C427&amp;"#"&amp;A427)</f>
        <v/>
      </c>
      <c r="C427" s="0" t="str">
        <f aca="false">IF('Deal Tracker'!B427="","",'Deal Tracker'!B427)</f>
        <v/>
      </c>
      <c r="D427" s="0" t="str">
        <f aca="false">IF('Deal Tracker'!B427="","",IF('Deal Tracker'!D427="","TBD","$"&amp;TEXT('Deal Tracker'!D427,"#,##0")&amp;"M"))</f>
        <v/>
      </c>
      <c r="E427" s="0" t="str">
        <f aca="false">IF('Deal Tracker'!B427="","",IF(AND(F427="",G427=""),"",F427&amp;IF(OR(F427="",G427=""),"","  ·  ")&amp;G427))</f>
        <v/>
      </c>
      <c r="F427" s="0" t="str">
        <f aca="false">IF('Deal Tracker'!F427="",IF('Deal Tracker'!G427="","",'Deal Tracker'!G427),'Deal Tracker'!F427&amp;IF('Deal Tracker'!G427="","",", "&amp;'Deal Tracker'!G427))</f>
        <v/>
      </c>
      <c r="G427" s="0" t="str">
        <f aca="false">IF('Deal Tracker'!H427="","","Target: "&amp;TEXT('Deal Tracker'!H427,"mmm yyyy"))</f>
        <v/>
      </c>
    </row>
    <row r="428" customFormat="false" ht="15" hidden="false" customHeight="false" outlineLevel="0" collapsed="false">
      <c r="A428" s="0" t="str">
        <f aca="false">IF('Deal Tracker'!C428="","",COUNTIF('Deal Tracker'!$C$2:C428,'Deal Tracker'!C428))</f>
        <v/>
      </c>
      <c r="B428" s="0" t="str">
        <f aca="false">IF(A428="","",'Deal Tracker'!C428&amp;"#"&amp;A428)</f>
        <v/>
      </c>
      <c r="C428" s="0" t="str">
        <f aca="false">IF('Deal Tracker'!B428="","",'Deal Tracker'!B428)</f>
        <v/>
      </c>
      <c r="D428" s="0" t="str">
        <f aca="false">IF('Deal Tracker'!B428="","",IF('Deal Tracker'!D428="","TBD","$"&amp;TEXT('Deal Tracker'!D428,"#,##0")&amp;"M"))</f>
        <v/>
      </c>
      <c r="E428" s="0" t="str">
        <f aca="false">IF('Deal Tracker'!B428="","",IF(AND(F428="",G428=""),"",F428&amp;IF(OR(F428="",G428=""),"","  ·  ")&amp;G428))</f>
        <v/>
      </c>
      <c r="F428" s="0" t="str">
        <f aca="false">IF('Deal Tracker'!F428="",IF('Deal Tracker'!G428="","",'Deal Tracker'!G428),'Deal Tracker'!F428&amp;IF('Deal Tracker'!G428="","",", "&amp;'Deal Tracker'!G428))</f>
        <v/>
      </c>
      <c r="G428" s="0" t="str">
        <f aca="false">IF('Deal Tracker'!H428="","","Target: "&amp;TEXT('Deal Tracker'!H428,"mmm yyyy"))</f>
        <v/>
      </c>
    </row>
    <row r="429" customFormat="false" ht="15" hidden="false" customHeight="false" outlineLevel="0" collapsed="false">
      <c r="A429" s="0" t="str">
        <f aca="false">IF('Deal Tracker'!C429="","",COUNTIF('Deal Tracker'!$C$2:C429,'Deal Tracker'!C429))</f>
        <v/>
      </c>
      <c r="B429" s="0" t="str">
        <f aca="false">IF(A429="","",'Deal Tracker'!C429&amp;"#"&amp;A429)</f>
        <v/>
      </c>
      <c r="C429" s="0" t="str">
        <f aca="false">IF('Deal Tracker'!B429="","",'Deal Tracker'!B429)</f>
        <v/>
      </c>
      <c r="D429" s="0" t="str">
        <f aca="false">IF('Deal Tracker'!B429="","",IF('Deal Tracker'!D429="","TBD","$"&amp;TEXT('Deal Tracker'!D429,"#,##0")&amp;"M"))</f>
        <v/>
      </c>
      <c r="E429" s="0" t="str">
        <f aca="false">IF('Deal Tracker'!B429="","",IF(AND(F429="",G429=""),"",F429&amp;IF(OR(F429="",G429=""),"","  ·  ")&amp;G429))</f>
        <v/>
      </c>
      <c r="F429" s="0" t="str">
        <f aca="false">IF('Deal Tracker'!F429="",IF('Deal Tracker'!G429="","",'Deal Tracker'!G429),'Deal Tracker'!F429&amp;IF('Deal Tracker'!G429="","",", "&amp;'Deal Tracker'!G429))</f>
        <v/>
      </c>
      <c r="G429" s="0" t="str">
        <f aca="false">IF('Deal Tracker'!H429="","","Target: "&amp;TEXT('Deal Tracker'!H429,"mmm yyyy"))</f>
        <v/>
      </c>
    </row>
    <row r="430" customFormat="false" ht="15" hidden="false" customHeight="false" outlineLevel="0" collapsed="false">
      <c r="A430" s="0" t="str">
        <f aca="false">IF('Deal Tracker'!C430="","",COUNTIF('Deal Tracker'!$C$2:C430,'Deal Tracker'!C430))</f>
        <v/>
      </c>
      <c r="B430" s="0" t="str">
        <f aca="false">IF(A430="","",'Deal Tracker'!C430&amp;"#"&amp;A430)</f>
        <v/>
      </c>
      <c r="C430" s="0" t="str">
        <f aca="false">IF('Deal Tracker'!B430="","",'Deal Tracker'!B430)</f>
        <v/>
      </c>
      <c r="D430" s="0" t="str">
        <f aca="false">IF('Deal Tracker'!B430="","",IF('Deal Tracker'!D430="","TBD","$"&amp;TEXT('Deal Tracker'!D430,"#,##0")&amp;"M"))</f>
        <v/>
      </c>
      <c r="E430" s="0" t="str">
        <f aca="false">IF('Deal Tracker'!B430="","",IF(AND(F430="",G430=""),"",F430&amp;IF(OR(F430="",G430=""),"","  ·  ")&amp;G430))</f>
        <v/>
      </c>
      <c r="F430" s="0" t="str">
        <f aca="false">IF('Deal Tracker'!F430="",IF('Deal Tracker'!G430="","",'Deal Tracker'!G430),'Deal Tracker'!F430&amp;IF('Deal Tracker'!G430="","",", "&amp;'Deal Tracker'!G430))</f>
        <v/>
      </c>
      <c r="G430" s="0" t="str">
        <f aca="false">IF('Deal Tracker'!H430="","","Target: "&amp;TEXT('Deal Tracker'!H430,"mmm yyyy"))</f>
        <v/>
      </c>
    </row>
    <row r="431" customFormat="false" ht="15" hidden="false" customHeight="false" outlineLevel="0" collapsed="false">
      <c r="A431" s="0" t="str">
        <f aca="false">IF('Deal Tracker'!C431="","",COUNTIF('Deal Tracker'!$C$2:C431,'Deal Tracker'!C431))</f>
        <v/>
      </c>
      <c r="B431" s="0" t="str">
        <f aca="false">IF(A431="","",'Deal Tracker'!C431&amp;"#"&amp;A431)</f>
        <v/>
      </c>
      <c r="C431" s="0" t="str">
        <f aca="false">IF('Deal Tracker'!B431="","",'Deal Tracker'!B431)</f>
        <v/>
      </c>
      <c r="D431" s="0" t="str">
        <f aca="false">IF('Deal Tracker'!B431="","",IF('Deal Tracker'!D431="","TBD","$"&amp;TEXT('Deal Tracker'!D431,"#,##0")&amp;"M"))</f>
        <v/>
      </c>
      <c r="E431" s="0" t="str">
        <f aca="false">IF('Deal Tracker'!B431="","",IF(AND(F431="",G431=""),"",F431&amp;IF(OR(F431="",G431=""),"","  ·  ")&amp;G431))</f>
        <v/>
      </c>
      <c r="F431" s="0" t="str">
        <f aca="false">IF('Deal Tracker'!F431="",IF('Deal Tracker'!G431="","",'Deal Tracker'!G431),'Deal Tracker'!F431&amp;IF('Deal Tracker'!G431="","",", "&amp;'Deal Tracker'!G431))</f>
        <v/>
      </c>
      <c r="G431" s="0" t="str">
        <f aca="false">IF('Deal Tracker'!H431="","","Target: "&amp;TEXT('Deal Tracker'!H431,"mmm yyyy"))</f>
        <v/>
      </c>
    </row>
    <row r="432" customFormat="false" ht="15" hidden="false" customHeight="false" outlineLevel="0" collapsed="false">
      <c r="A432" s="0" t="str">
        <f aca="false">IF('Deal Tracker'!C432="","",COUNTIF('Deal Tracker'!$C$2:C432,'Deal Tracker'!C432))</f>
        <v/>
      </c>
      <c r="B432" s="0" t="str">
        <f aca="false">IF(A432="","",'Deal Tracker'!C432&amp;"#"&amp;A432)</f>
        <v/>
      </c>
      <c r="C432" s="0" t="str">
        <f aca="false">IF('Deal Tracker'!B432="","",'Deal Tracker'!B432)</f>
        <v/>
      </c>
      <c r="D432" s="0" t="str">
        <f aca="false">IF('Deal Tracker'!B432="","",IF('Deal Tracker'!D432="","TBD","$"&amp;TEXT('Deal Tracker'!D432,"#,##0")&amp;"M"))</f>
        <v/>
      </c>
      <c r="E432" s="0" t="str">
        <f aca="false">IF('Deal Tracker'!B432="","",IF(AND(F432="",G432=""),"",F432&amp;IF(OR(F432="",G432=""),"","  ·  ")&amp;G432))</f>
        <v/>
      </c>
      <c r="F432" s="0" t="str">
        <f aca="false">IF('Deal Tracker'!F432="",IF('Deal Tracker'!G432="","",'Deal Tracker'!G432),'Deal Tracker'!F432&amp;IF('Deal Tracker'!G432="","",", "&amp;'Deal Tracker'!G432))</f>
        <v/>
      </c>
      <c r="G432" s="0" t="str">
        <f aca="false">IF('Deal Tracker'!H432="","","Target: "&amp;TEXT('Deal Tracker'!H432,"mmm yyyy"))</f>
        <v/>
      </c>
    </row>
    <row r="433" customFormat="false" ht="15" hidden="false" customHeight="false" outlineLevel="0" collapsed="false">
      <c r="A433" s="0" t="str">
        <f aca="false">IF('Deal Tracker'!C433="","",COUNTIF('Deal Tracker'!$C$2:C433,'Deal Tracker'!C433))</f>
        <v/>
      </c>
      <c r="B433" s="0" t="str">
        <f aca="false">IF(A433="","",'Deal Tracker'!C433&amp;"#"&amp;A433)</f>
        <v/>
      </c>
      <c r="C433" s="0" t="str">
        <f aca="false">IF('Deal Tracker'!B433="","",'Deal Tracker'!B433)</f>
        <v/>
      </c>
      <c r="D433" s="0" t="str">
        <f aca="false">IF('Deal Tracker'!B433="","",IF('Deal Tracker'!D433="","TBD","$"&amp;TEXT('Deal Tracker'!D433,"#,##0")&amp;"M"))</f>
        <v/>
      </c>
      <c r="E433" s="0" t="str">
        <f aca="false">IF('Deal Tracker'!B433="","",IF(AND(F433="",G433=""),"",F433&amp;IF(OR(F433="",G433=""),"","  ·  ")&amp;G433))</f>
        <v/>
      </c>
      <c r="F433" s="0" t="str">
        <f aca="false">IF('Deal Tracker'!F433="",IF('Deal Tracker'!G433="","",'Deal Tracker'!G433),'Deal Tracker'!F433&amp;IF('Deal Tracker'!G433="","",", "&amp;'Deal Tracker'!G433))</f>
        <v/>
      </c>
      <c r="G433" s="0" t="str">
        <f aca="false">IF('Deal Tracker'!H433="","","Target: "&amp;TEXT('Deal Tracker'!H433,"mmm yyyy"))</f>
        <v/>
      </c>
    </row>
    <row r="434" customFormat="false" ht="15" hidden="false" customHeight="false" outlineLevel="0" collapsed="false">
      <c r="A434" s="0" t="str">
        <f aca="false">IF('Deal Tracker'!C434="","",COUNTIF('Deal Tracker'!$C$2:C434,'Deal Tracker'!C434))</f>
        <v/>
      </c>
      <c r="B434" s="0" t="str">
        <f aca="false">IF(A434="","",'Deal Tracker'!C434&amp;"#"&amp;A434)</f>
        <v/>
      </c>
      <c r="C434" s="0" t="str">
        <f aca="false">IF('Deal Tracker'!B434="","",'Deal Tracker'!B434)</f>
        <v/>
      </c>
      <c r="D434" s="0" t="str">
        <f aca="false">IF('Deal Tracker'!B434="","",IF('Deal Tracker'!D434="","TBD","$"&amp;TEXT('Deal Tracker'!D434,"#,##0")&amp;"M"))</f>
        <v/>
      </c>
      <c r="E434" s="0" t="str">
        <f aca="false">IF('Deal Tracker'!B434="","",IF(AND(F434="",G434=""),"",F434&amp;IF(OR(F434="",G434=""),"","  ·  ")&amp;G434))</f>
        <v/>
      </c>
      <c r="F434" s="0" t="str">
        <f aca="false">IF('Deal Tracker'!F434="",IF('Deal Tracker'!G434="","",'Deal Tracker'!G434),'Deal Tracker'!F434&amp;IF('Deal Tracker'!G434="","",", "&amp;'Deal Tracker'!G434))</f>
        <v/>
      </c>
      <c r="G434" s="0" t="str">
        <f aca="false">IF('Deal Tracker'!H434="","","Target: "&amp;TEXT('Deal Tracker'!H434,"mmm yyyy"))</f>
        <v/>
      </c>
    </row>
    <row r="435" customFormat="false" ht="15" hidden="false" customHeight="false" outlineLevel="0" collapsed="false">
      <c r="A435" s="0" t="str">
        <f aca="false">IF('Deal Tracker'!C435="","",COUNTIF('Deal Tracker'!$C$2:C435,'Deal Tracker'!C435))</f>
        <v/>
      </c>
      <c r="B435" s="0" t="str">
        <f aca="false">IF(A435="","",'Deal Tracker'!C435&amp;"#"&amp;A435)</f>
        <v/>
      </c>
      <c r="C435" s="0" t="str">
        <f aca="false">IF('Deal Tracker'!B435="","",'Deal Tracker'!B435)</f>
        <v/>
      </c>
      <c r="D435" s="0" t="str">
        <f aca="false">IF('Deal Tracker'!B435="","",IF('Deal Tracker'!D435="","TBD","$"&amp;TEXT('Deal Tracker'!D435,"#,##0")&amp;"M"))</f>
        <v/>
      </c>
      <c r="E435" s="0" t="str">
        <f aca="false">IF('Deal Tracker'!B435="","",IF(AND(F435="",G435=""),"",F435&amp;IF(OR(F435="",G435=""),"","  ·  ")&amp;G435))</f>
        <v/>
      </c>
      <c r="F435" s="0" t="str">
        <f aca="false">IF('Deal Tracker'!F435="",IF('Deal Tracker'!G435="","",'Deal Tracker'!G435),'Deal Tracker'!F435&amp;IF('Deal Tracker'!G435="","",", "&amp;'Deal Tracker'!G435))</f>
        <v/>
      </c>
      <c r="G435" s="0" t="str">
        <f aca="false">IF('Deal Tracker'!H435="","","Target: "&amp;TEXT('Deal Tracker'!H435,"mmm yyyy"))</f>
        <v/>
      </c>
    </row>
    <row r="436" customFormat="false" ht="15" hidden="false" customHeight="false" outlineLevel="0" collapsed="false">
      <c r="A436" s="0" t="str">
        <f aca="false">IF('Deal Tracker'!C436="","",COUNTIF('Deal Tracker'!$C$2:C436,'Deal Tracker'!C436))</f>
        <v/>
      </c>
      <c r="B436" s="0" t="str">
        <f aca="false">IF(A436="","",'Deal Tracker'!C436&amp;"#"&amp;A436)</f>
        <v/>
      </c>
      <c r="C436" s="0" t="str">
        <f aca="false">IF('Deal Tracker'!B436="","",'Deal Tracker'!B436)</f>
        <v/>
      </c>
      <c r="D436" s="0" t="str">
        <f aca="false">IF('Deal Tracker'!B436="","",IF('Deal Tracker'!D436="","TBD","$"&amp;TEXT('Deal Tracker'!D436,"#,##0")&amp;"M"))</f>
        <v/>
      </c>
      <c r="E436" s="0" t="str">
        <f aca="false">IF('Deal Tracker'!B436="","",IF(AND(F436="",G436=""),"",F436&amp;IF(OR(F436="",G436=""),"","  ·  ")&amp;G436))</f>
        <v/>
      </c>
      <c r="F436" s="0" t="str">
        <f aca="false">IF('Deal Tracker'!F436="",IF('Deal Tracker'!G436="","",'Deal Tracker'!G436),'Deal Tracker'!F436&amp;IF('Deal Tracker'!G436="","",", "&amp;'Deal Tracker'!G436))</f>
        <v/>
      </c>
      <c r="G436" s="0" t="str">
        <f aca="false">IF('Deal Tracker'!H436="","","Target: "&amp;TEXT('Deal Tracker'!H436,"mmm yyyy"))</f>
        <v/>
      </c>
    </row>
    <row r="437" customFormat="false" ht="15" hidden="false" customHeight="false" outlineLevel="0" collapsed="false">
      <c r="A437" s="0" t="str">
        <f aca="false">IF('Deal Tracker'!C437="","",COUNTIF('Deal Tracker'!$C$2:C437,'Deal Tracker'!C437))</f>
        <v/>
      </c>
      <c r="B437" s="0" t="str">
        <f aca="false">IF(A437="","",'Deal Tracker'!C437&amp;"#"&amp;A437)</f>
        <v/>
      </c>
      <c r="C437" s="0" t="str">
        <f aca="false">IF('Deal Tracker'!B437="","",'Deal Tracker'!B437)</f>
        <v/>
      </c>
      <c r="D437" s="0" t="str">
        <f aca="false">IF('Deal Tracker'!B437="","",IF('Deal Tracker'!D437="","TBD","$"&amp;TEXT('Deal Tracker'!D437,"#,##0")&amp;"M"))</f>
        <v/>
      </c>
      <c r="E437" s="0" t="str">
        <f aca="false">IF('Deal Tracker'!B437="","",IF(AND(F437="",G437=""),"",F437&amp;IF(OR(F437="",G437=""),"","  ·  ")&amp;G437))</f>
        <v/>
      </c>
      <c r="F437" s="0" t="str">
        <f aca="false">IF('Deal Tracker'!F437="",IF('Deal Tracker'!G437="","",'Deal Tracker'!G437),'Deal Tracker'!F437&amp;IF('Deal Tracker'!G437="","",", "&amp;'Deal Tracker'!G437))</f>
        <v/>
      </c>
      <c r="G437" s="0" t="str">
        <f aca="false">IF('Deal Tracker'!H437="","","Target: "&amp;TEXT('Deal Tracker'!H437,"mmm yyyy"))</f>
        <v/>
      </c>
    </row>
    <row r="438" customFormat="false" ht="15" hidden="false" customHeight="false" outlineLevel="0" collapsed="false">
      <c r="A438" s="0" t="str">
        <f aca="false">IF('Deal Tracker'!C438="","",COUNTIF('Deal Tracker'!$C$2:C438,'Deal Tracker'!C438))</f>
        <v/>
      </c>
      <c r="B438" s="0" t="str">
        <f aca="false">IF(A438="","",'Deal Tracker'!C438&amp;"#"&amp;A438)</f>
        <v/>
      </c>
      <c r="C438" s="0" t="str">
        <f aca="false">IF('Deal Tracker'!B438="","",'Deal Tracker'!B438)</f>
        <v/>
      </c>
      <c r="D438" s="0" t="str">
        <f aca="false">IF('Deal Tracker'!B438="","",IF('Deal Tracker'!D438="","TBD","$"&amp;TEXT('Deal Tracker'!D438,"#,##0")&amp;"M"))</f>
        <v/>
      </c>
      <c r="E438" s="0" t="str">
        <f aca="false">IF('Deal Tracker'!B438="","",IF(AND(F438="",G438=""),"",F438&amp;IF(OR(F438="",G438=""),"","  ·  ")&amp;G438))</f>
        <v/>
      </c>
      <c r="F438" s="0" t="str">
        <f aca="false">IF('Deal Tracker'!F438="",IF('Deal Tracker'!G438="","",'Deal Tracker'!G438),'Deal Tracker'!F438&amp;IF('Deal Tracker'!G438="","",", "&amp;'Deal Tracker'!G438))</f>
        <v/>
      </c>
      <c r="G438" s="0" t="str">
        <f aca="false">IF('Deal Tracker'!H438="","","Target: "&amp;TEXT('Deal Tracker'!H438,"mmm yyyy"))</f>
        <v/>
      </c>
    </row>
    <row r="439" customFormat="false" ht="15" hidden="false" customHeight="false" outlineLevel="0" collapsed="false">
      <c r="A439" s="0" t="str">
        <f aca="false">IF('Deal Tracker'!C439="","",COUNTIF('Deal Tracker'!$C$2:C439,'Deal Tracker'!C439))</f>
        <v/>
      </c>
      <c r="B439" s="0" t="str">
        <f aca="false">IF(A439="","",'Deal Tracker'!C439&amp;"#"&amp;A439)</f>
        <v/>
      </c>
      <c r="C439" s="0" t="str">
        <f aca="false">IF('Deal Tracker'!B439="","",'Deal Tracker'!B439)</f>
        <v/>
      </c>
      <c r="D439" s="0" t="str">
        <f aca="false">IF('Deal Tracker'!B439="","",IF('Deal Tracker'!D439="","TBD","$"&amp;TEXT('Deal Tracker'!D439,"#,##0")&amp;"M"))</f>
        <v/>
      </c>
      <c r="E439" s="0" t="str">
        <f aca="false">IF('Deal Tracker'!B439="","",IF(AND(F439="",G439=""),"",F439&amp;IF(OR(F439="",G439=""),"","  ·  ")&amp;G439))</f>
        <v/>
      </c>
      <c r="F439" s="0" t="str">
        <f aca="false">IF('Deal Tracker'!F439="",IF('Deal Tracker'!G439="","",'Deal Tracker'!G439),'Deal Tracker'!F439&amp;IF('Deal Tracker'!G439="","",", "&amp;'Deal Tracker'!G439))</f>
        <v/>
      </c>
      <c r="G439" s="0" t="str">
        <f aca="false">IF('Deal Tracker'!H439="","","Target: "&amp;TEXT('Deal Tracker'!H439,"mmm yyyy"))</f>
        <v/>
      </c>
    </row>
    <row r="440" customFormat="false" ht="15" hidden="false" customHeight="false" outlineLevel="0" collapsed="false">
      <c r="A440" s="0" t="str">
        <f aca="false">IF('Deal Tracker'!C440="","",COUNTIF('Deal Tracker'!$C$2:C440,'Deal Tracker'!C440))</f>
        <v/>
      </c>
      <c r="B440" s="0" t="str">
        <f aca="false">IF(A440="","",'Deal Tracker'!C440&amp;"#"&amp;A440)</f>
        <v/>
      </c>
      <c r="C440" s="0" t="str">
        <f aca="false">IF('Deal Tracker'!B440="","",'Deal Tracker'!B440)</f>
        <v/>
      </c>
      <c r="D440" s="0" t="str">
        <f aca="false">IF('Deal Tracker'!B440="","",IF('Deal Tracker'!D440="","TBD","$"&amp;TEXT('Deal Tracker'!D440,"#,##0")&amp;"M"))</f>
        <v/>
      </c>
      <c r="E440" s="0" t="str">
        <f aca="false">IF('Deal Tracker'!B440="","",IF(AND(F440="",G440=""),"",F440&amp;IF(OR(F440="",G440=""),"","  ·  ")&amp;G440))</f>
        <v/>
      </c>
      <c r="F440" s="0" t="str">
        <f aca="false">IF('Deal Tracker'!F440="",IF('Deal Tracker'!G440="","",'Deal Tracker'!G440),'Deal Tracker'!F440&amp;IF('Deal Tracker'!G440="","",", "&amp;'Deal Tracker'!G440))</f>
        <v/>
      </c>
      <c r="G440" s="0" t="str">
        <f aca="false">IF('Deal Tracker'!H440="","","Target: "&amp;TEXT('Deal Tracker'!H440,"mmm yyyy"))</f>
        <v/>
      </c>
    </row>
    <row r="441" customFormat="false" ht="15" hidden="false" customHeight="false" outlineLevel="0" collapsed="false">
      <c r="A441" s="0" t="str">
        <f aca="false">IF('Deal Tracker'!C441="","",COUNTIF('Deal Tracker'!$C$2:C441,'Deal Tracker'!C441))</f>
        <v/>
      </c>
      <c r="B441" s="0" t="str">
        <f aca="false">IF(A441="","",'Deal Tracker'!C441&amp;"#"&amp;A441)</f>
        <v/>
      </c>
      <c r="C441" s="0" t="str">
        <f aca="false">IF('Deal Tracker'!B441="","",'Deal Tracker'!B441)</f>
        <v/>
      </c>
      <c r="D441" s="0" t="str">
        <f aca="false">IF('Deal Tracker'!B441="","",IF('Deal Tracker'!D441="","TBD","$"&amp;TEXT('Deal Tracker'!D441,"#,##0")&amp;"M"))</f>
        <v/>
      </c>
      <c r="E441" s="0" t="str">
        <f aca="false">IF('Deal Tracker'!B441="","",IF(AND(F441="",G441=""),"",F441&amp;IF(OR(F441="",G441=""),"","  ·  ")&amp;G441))</f>
        <v/>
      </c>
      <c r="F441" s="0" t="str">
        <f aca="false">IF('Deal Tracker'!F441="",IF('Deal Tracker'!G441="","",'Deal Tracker'!G441),'Deal Tracker'!F441&amp;IF('Deal Tracker'!G441="","",", "&amp;'Deal Tracker'!G441))</f>
        <v/>
      </c>
      <c r="G441" s="0" t="str">
        <f aca="false">IF('Deal Tracker'!H441="","","Target: "&amp;TEXT('Deal Tracker'!H441,"mmm yyyy"))</f>
        <v/>
      </c>
    </row>
    <row r="442" customFormat="false" ht="15" hidden="false" customHeight="false" outlineLevel="0" collapsed="false">
      <c r="A442" s="0" t="str">
        <f aca="false">IF('Deal Tracker'!C442="","",COUNTIF('Deal Tracker'!$C$2:C442,'Deal Tracker'!C442))</f>
        <v/>
      </c>
      <c r="B442" s="0" t="str">
        <f aca="false">IF(A442="","",'Deal Tracker'!C442&amp;"#"&amp;A442)</f>
        <v/>
      </c>
      <c r="C442" s="0" t="str">
        <f aca="false">IF('Deal Tracker'!B442="","",'Deal Tracker'!B442)</f>
        <v/>
      </c>
      <c r="D442" s="0" t="str">
        <f aca="false">IF('Deal Tracker'!B442="","",IF('Deal Tracker'!D442="","TBD","$"&amp;TEXT('Deal Tracker'!D442,"#,##0")&amp;"M"))</f>
        <v/>
      </c>
      <c r="E442" s="0" t="str">
        <f aca="false">IF('Deal Tracker'!B442="","",IF(AND(F442="",G442=""),"",F442&amp;IF(OR(F442="",G442=""),"","  ·  ")&amp;G442))</f>
        <v/>
      </c>
      <c r="F442" s="0" t="str">
        <f aca="false">IF('Deal Tracker'!F442="",IF('Deal Tracker'!G442="","",'Deal Tracker'!G442),'Deal Tracker'!F442&amp;IF('Deal Tracker'!G442="","",", "&amp;'Deal Tracker'!G442))</f>
        <v/>
      </c>
      <c r="G442" s="0" t="str">
        <f aca="false">IF('Deal Tracker'!H442="","","Target: "&amp;TEXT('Deal Tracker'!H442,"mmm yyyy"))</f>
        <v/>
      </c>
    </row>
    <row r="443" customFormat="false" ht="15" hidden="false" customHeight="false" outlineLevel="0" collapsed="false">
      <c r="A443" s="0" t="str">
        <f aca="false">IF('Deal Tracker'!C443="","",COUNTIF('Deal Tracker'!$C$2:C443,'Deal Tracker'!C443))</f>
        <v/>
      </c>
      <c r="B443" s="0" t="str">
        <f aca="false">IF(A443="","",'Deal Tracker'!C443&amp;"#"&amp;A443)</f>
        <v/>
      </c>
      <c r="C443" s="0" t="str">
        <f aca="false">IF('Deal Tracker'!B443="","",'Deal Tracker'!B443)</f>
        <v/>
      </c>
      <c r="D443" s="0" t="str">
        <f aca="false">IF('Deal Tracker'!B443="","",IF('Deal Tracker'!D443="","TBD","$"&amp;TEXT('Deal Tracker'!D443,"#,##0")&amp;"M"))</f>
        <v/>
      </c>
      <c r="E443" s="0" t="str">
        <f aca="false">IF('Deal Tracker'!B443="","",IF(AND(F443="",G443=""),"",F443&amp;IF(OR(F443="",G443=""),"","  ·  ")&amp;G443))</f>
        <v/>
      </c>
      <c r="F443" s="0" t="str">
        <f aca="false">IF('Deal Tracker'!F443="",IF('Deal Tracker'!G443="","",'Deal Tracker'!G443),'Deal Tracker'!F443&amp;IF('Deal Tracker'!G443="","",", "&amp;'Deal Tracker'!G443))</f>
        <v/>
      </c>
      <c r="G443" s="0" t="str">
        <f aca="false">IF('Deal Tracker'!H443="","","Target: "&amp;TEXT('Deal Tracker'!H443,"mmm yyyy"))</f>
        <v/>
      </c>
    </row>
    <row r="444" customFormat="false" ht="15" hidden="false" customHeight="false" outlineLevel="0" collapsed="false">
      <c r="A444" s="0" t="str">
        <f aca="false">IF('Deal Tracker'!C444="","",COUNTIF('Deal Tracker'!$C$2:C444,'Deal Tracker'!C444))</f>
        <v/>
      </c>
      <c r="B444" s="0" t="str">
        <f aca="false">IF(A444="","",'Deal Tracker'!C444&amp;"#"&amp;A444)</f>
        <v/>
      </c>
      <c r="C444" s="0" t="str">
        <f aca="false">IF('Deal Tracker'!B444="","",'Deal Tracker'!B444)</f>
        <v/>
      </c>
      <c r="D444" s="0" t="str">
        <f aca="false">IF('Deal Tracker'!B444="","",IF('Deal Tracker'!D444="","TBD","$"&amp;TEXT('Deal Tracker'!D444,"#,##0")&amp;"M"))</f>
        <v/>
      </c>
      <c r="E444" s="0" t="str">
        <f aca="false">IF('Deal Tracker'!B444="","",IF(AND(F444="",G444=""),"",F444&amp;IF(OR(F444="",G444=""),"","  ·  ")&amp;G444))</f>
        <v/>
      </c>
      <c r="F444" s="0" t="str">
        <f aca="false">IF('Deal Tracker'!F444="",IF('Deal Tracker'!G444="","",'Deal Tracker'!G444),'Deal Tracker'!F444&amp;IF('Deal Tracker'!G444="","",", "&amp;'Deal Tracker'!G444))</f>
        <v/>
      </c>
      <c r="G444" s="0" t="str">
        <f aca="false">IF('Deal Tracker'!H444="","","Target: "&amp;TEXT('Deal Tracker'!H444,"mmm yyyy"))</f>
        <v/>
      </c>
    </row>
    <row r="445" customFormat="false" ht="15" hidden="false" customHeight="false" outlineLevel="0" collapsed="false">
      <c r="A445" s="0" t="str">
        <f aca="false">IF('Deal Tracker'!C445="","",COUNTIF('Deal Tracker'!$C$2:C445,'Deal Tracker'!C445))</f>
        <v/>
      </c>
      <c r="B445" s="0" t="str">
        <f aca="false">IF(A445="","",'Deal Tracker'!C445&amp;"#"&amp;A445)</f>
        <v/>
      </c>
      <c r="C445" s="0" t="str">
        <f aca="false">IF('Deal Tracker'!B445="","",'Deal Tracker'!B445)</f>
        <v/>
      </c>
      <c r="D445" s="0" t="str">
        <f aca="false">IF('Deal Tracker'!B445="","",IF('Deal Tracker'!D445="","TBD","$"&amp;TEXT('Deal Tracker'!D445,"#,##0")&amp;"M"))</f>
        <v/>
      </c>
      <c r="E445" s="0" t="str">
        <f aca="false">IF('Deal Tracker'!B445="","",IF(AND(F445="",G445=""),"",F445&amp;IF(OR(F445="",G445=""),"","  ·  ")&amp;G445))</f>
        <v/>
      </c>
      <c r="F445" s="0" t="str">
        <f aca="false">IF('Deal Tracker'!F445="",IF('Deal Tracker'!G445="","",'Deal Tracker'!G445),'Deal Tracker'!F445&amp;IF('Deal Tracker'!G445="","",", "&amp;'Deal Tracker'!G445))</f>
        <v/>
      </c>
      <c r="G445" s="0" t="str">
        <f aca="false">IF('Deal Tracker'!H445="","","Target: "&amp;TEXT('Deal Tracker'!H445,"mmm yyyy"))</f>
        <v/>
      </c>
    </row>
    <row r="446" customFormat="false" ht="15" hidden="false" customHeight="false" outlineLevel="0" collapsed="false">
      <c r="A446" s="0" t="str">
        <f aca="false">IF('Deal Tracker'!C446="","",COUNTIF('Deal Tracker'!$C$2:C446,'Deal Tracker'!C446))</f>
        <v/>
      </c>
      <c r="B446" s="0" t="str">
        <f aca="false">IF(A446="","",'Deal Tracker'!C446&amp;"#"&amp;A446)</f>
        <v/>
      </c>
      <c r="C446" s="0" t="str">
        <f aca="false">IF('Deal Tracker'!B446="","",'Deal Tracker'!B446)</f>
        <v/>
      </c>
      <c r="D446" s="0" t="str">
        <f aca="false">IF('Deal Tracker'!B446="","",IF('Deal Tracker'!D446="","TBD","$"&amp;TEXT('Deal Tracker'!D446,"#,##0")&amp;"M"))</f>
        <v/>
      </c>
      <c r="E446" s="0" t="str">
        <f aca="false">IF('Deal Tracker'!B446="","",IF(AND(F446="",G446=""),"",F446&amp;IF(OR(F446="",G446=""),"","  ·  ")&amp;G446))</f>
        <v/>
      </c>
      <c r="F446" s="0" t="str">
        <f aca="false">IF('Deal Tracker'!F446="",IF('Deal Tracker'!G446="","",'Deal Tracker'!G446),'Deal Tracker'!F446&amp;IF('Deal Tracker'!G446="","",", "&amp;'Deal Tracker'!G446))</f>
        <v/>
      </c>
      <c r="G446" s="0" t="str">
        <f aca="false">IF('Deal Tracker'!H446="","","Target: "&amp;TEXT('Deal Tracker'!H446,"mmm yyyy"))</f>
        <v/>
      </c>
    </row>
    <row r="447" customFormat="false" ht="15" hidden="false" customHeight="false" outlineLevel="0" collapsed="false">
      <c r="A447" s="0" t="str">
        <f aca="false">IF('Deal Tracker'!C447="","",COUNTIF('Deal Tracker'!$C$2:C447,'Deal Tracker'!C447))</f>
        <v/>
      </c>
      <c r="B447" s="0" t="str">
        <f aca="false">IF(A447="","",'Deal Tracker'!C447&amp;"#"&amp;A447)</f>
        <v/>
      </c>
      <c r="C447" s="0" t="str">
        <f aca="false">IF('Deal Tracker'!B447="","",'Deal Tracker'!B447)</f>
        <v/>
      </c>
      <c r="D447" s="0" t="str">
        <f aca="false">IF('Deal Tracker'!B447="","",IF('Deal Tracker'!D447="","TBD","$"&amp;TEXT('Deal Tracker'!D447,"#,##0")&amp;"M"))</f>
        <v/>
      </c>
      <c r="E447" s="0" t="str">
        <f aca="false">IF('Deal Tracker'!B447="","",IF(AND(F447="",G447=""),"",F447&amp;IF(OR(F447="",G447=""),"","  ·  ")&amp;G447))</f>
        <v/>
      </c>
      <c r="F447" s="0" t="str">
        <f aca="false">IF('Deal Tracker'!F447="",IF('Deal Tracker'!G447="","",'Deal Tracker'!G447),'Deal Tracker'!F447&amp;IF('Deal Tracker'!G447="","",", "&amp;'Deal Tracker'!G447))</f>
        <v/>
      </c>
      <c r="G447" s="0" t="str">
        <f aca="false">IF('Deal Tracker'!H447="","","Target: "&amp;TEXT('Deal Tracker'!H447,"mmm yyyy"))</f>
        <v/>
      </c>
    </row>
    <row r="448" customFormat="false" ht="15" hidden="false" customHeight="false" outlineLevel="0" collapsed="false">
      <c r="A448" s="0" t="str">
        <f aca="false">IF('Deal Tracker'!C448="","",COUNTIF('Deal Tracker'!$C$2:C448,'Deal Tracker'!C448))</f>
        <v/>
      </c>
      <c r="B448" s="0" t="str">
        <f aca="false">IF(A448="","",'Deal Tracker'!C448&amp;"#"&amp;A448)</f>
        <v/>
      </c>
      <c r="C448" s="0" t="str">
        <f aca="false">IF('Deal Tracker'!B448="","",'Deal Tracker'!B448)</f>
        <v/>
      </c>
      <c r="D448" s="0" t="str">
        <f aca="false">IF('Deal Tracker'!B448="","",IF('Deal Tracker'!D448="","TBD","$"&amp;TEXT('Deal Tracker'!D448,"#,##0")&amp;"M"))</f>
        <v/>
      </c>
      <c r="E448" s="0" t="str">
        <f aca="false">IF('Deal Tracker'!B448="","",IF(AND(F448="",G448=""),"",F448&amp;IF(OR(F448="",G448=""),"","  ·  ")&amp;G448))</f>
        <v/>
      </c>
      <c r="F448" s="0" t="str">
        <f aca="false">IF('Deal Tracker'!F448="",IF('Deal Tracker'!G448="","",'Deal Tracker'!G448),'Deal Tracker'!F448&amp;IF('Deal Tracker'!G448="","",", "&amp;'Deal Tracker'!G448))</f>
        <v/>
      </c>
      <c r="G448" s="0" t="str">
        <f aca="false">IF('Deal Tracker'!H448="","","Target: "&amp;TEXT('Deal Tracker'!H448,"mmm yyyy"))</f>
        <v/>
      </c>
    </row>
    <row r="449" customFormat="false" ht="15" hidden="false" customHeight="false" outlineLevel="0" collapsed="false">
      <c r="A449" s="0" t="str">
        <f aca="false">IF('Deal Tracker'!C449="","",COUNTIF('Deal Tracker'!$C$2:C449,'Deal Tracker'!C449))</f>
        <v/>
      </c>
      <c r="B449" s="0" t="str">
        <f aca="false">IF(A449="","",'Deal Tracker'!C449&amp;"#"&amp;A449)</f>
        <v/>
      </c>
      <c r="C449" s="0" t="str">
        <f aca="false">IF('Deal Tracker'!B449="","",'Deal Tracker'!B449)</f>
        <v/>
      </c>
      <c r="D449" s="0" t="str">
        <f aca="false">IF('Deal Tracker'!B449="","",IF('Deal Tracker'!D449="","TBD","$"&amp;TEXT('Deal Tracker'!D449,"#,##0")&amp;"M"))</f>
        <v/>
      </c>
      <c r="E449" s="0" t="str">
        <f aca="false">IF('Deal Tracker'!B449="","",IF(AND(F449="",G449=""),"",F449&amp;IF(OR(F449="",G449=""),"","  ·  ")&amp;G449))</f>
        <v/>
      </c>
      <c r="F449" s="0" t="str">
        <f aca="false">IF('Deal Tracker'!F449="",IF('Deal Tracker'!G449="","",'Deal Tracker'!G449),'Deal Tracker'!F449&amp;IF('Deal Tracker'!G449="","",", "&amp;'Deal Tracker'!G449))</f>
        <v/>
      </c>
      <c r="G449" s="0" t="str">
        <f aca="false">IF('Deal Tracker'!H449="","","Target: "&amp;TEXT('Deal Tracker'!H449,"mmm yyyy"))</f>
        <v/>
      </c>
    </row>
    <row r="450" customFormat="false" ht="15" hidden="false" customHeight="false" outlineLevel="0" collapsed="false">
      <c r="A450" s="0" t="str">
        <f aca="false">IF('Deal Tracker'!C450="","",COUNTIF('Deal Tracker'!$C$2:C450,'Deal Tracker'!C450))</f>
        <v/>
      </c>
      <c r="B450" s="0" t="str">
        <f aca="false">IF(A450="","",'Deal Tracker'!C450&amp;"#"&amp;A450)</f>
        <v/>
      </c>
      <c r="C450" s="0" t="str">
        <f aca="false">IF('Deal Tracker'!B450="","",'Deal Tracker'!B450)</f>
        <v/>
      </c>
      <c r="D450" s="0" t="str">
        <f aca="false">IF('Deal Tracker'!B450="","",IF('Deal Tracker'!D450="","TBD","$"&amp;TEXT('Deal Tracker'!D450,"#,##0")&amp;"M"))</f>
        <v/>
      </c>
      <c r="E450" s="0" t="str">
        <f aca="false">IF('Deal Tracker'!B450="","",IF(AND(F450="",G450=""),"",F450&amp;IF(OR(F450="",G450=""),"","  ·  ")&amp;G450))</f>
        <v/>
      </c>
      <c r="F450" s="0" t="str">
        <f aca="false">IF('Deal Tracker'!F450="",IF('Deal Tracker'!G450="","",'Deal Tracker'!G450),'Deal Tracker'!F450&amp;IF('Deal Tracker'!G450="","",", "&amp;'Deal Tracker'!G450))</f>
        <v/>
      </c>
      <c r="G450" s="0" t="str">
        <f aca="false">IF('Deal Tracker'!H450="","","Target: "&amp;TEXT('Deal Tracker'!H450,"mmm yyyy"))</f>
        <v/>
      </c>
    </row>
    <row r="451" customFormat="false" ht="15" hidden="false" customHeight="false" outlineLevel="0" collapsed="false">
      <c r="A451" s="0" t="str">
        <f aca="false">IF('Deal Tracker'!C451="","",COUNTIF('Deal Tracker'!$C$2:C451,'Deal Tracker'!C451))</f>
        <v/>
      </c>
      <c r="B451" s="0" t="str">
        <f aca="false">IF(A451="","",'Deal Tracker'!C451&amp;"#"&amp;A451)</f>
        <v/>
      </c>
      <c r="C451" s="0" t="str">
        <f aca="false">IF('Deal Tracker'!B451="","",'Deal Tracker'!B451)</f>
        <v/>
      </c>
      <c r="D451" s="0" t="str">
        <f aca="false">IF('Deal Tracker'!B451="","",IF('Deal Tracker'!D451="","TBD","$"&amp;TEXT('Deal Tracker'!D451,"#,##0")&amp;"M"))</f>
        <v/>
      </c>
      <c r="E451" s="0" t="str">
        <f aca="false">IF('Deal Tracker'!B451="","",IF(AND(F451="",G451=""),"",F451&amp;IF(OR(F451="",G451=""),"","  ·  ")&amp;G451))</f>
        <v/>
      </c>
      <c r="F451" s="0" t="str">
        <f aca="false">IF('Deal Tracker'!F451="",IF('Deal Tracker'!G451="","",'Deal Tracker'!G451),'Deal Tracker'!F451&amp;IF('Deal Tracker'!G451="","",", "&amp;'Deal Tracker'!G451))</f>
        <v/>
      </c>
      <c r="G451" s="0" t="str">
        <f aca="false">IF('Deal Tracker'!H451="","","Target: "&amp;TEXT('Deal Tracker'!H451,"mmm yyyy"))</f>
        <v/>
      </c>
    </row>
    <row r="452" customFormat="false" ht="15" hidden="false" customHeight="false" outlineLevel="0" collapsed="false">
      <c r="A452" s="0" t="str">
        <f aca="false">IF('Deal Tracker'!C452="","",COUNTIF('Deal Tracker'!$C$2:C452,'Deal Tracker'!C452))</f>
        <v/>
      </c>
      <c r="B452" s="0" t="str">
        <f aca="false">IF(A452="","",'Deal Tracker'!C452&amp;"#"&amp;A452)</f>
        <v/>
      </c>
      <c r="C452" s="0" t="str">
        <f aca="false">IF('Deal Tracker'!B452="","",'Deal Tracker'!B452)</f>
        <v/>
      </c>
      <c r="D452" s="0" t="str">
        <f aca="false">IF('Deal Tracker'!B452="","",IF('Deal Tracker'!D452="","TBD","$"&amp;TEXT('Deal Tracker'!D452,"#,##0")&amp;"M"))</f>
        <v/>
      </c>
      <c r="E452" s="0" t="str">
        <f aca="false">IF('Deal Tracker'!B452="","",IF(AND(F452="",G452=""),"",F452&amp;IF(OR(F452="",G452=""),"","  ·  ")&amp;G452))</f>
        <v/>
      </c>
      <c r="F452" s="0" t="str">
        <f aca="false">IF('Deal Tracker'!F452="",IF('Deal Tracker'!G452="","",'Deal Tracker'!G452),'Deal Tracker'!F452&amp;IF('Deal Tracker'!G452="","",", "&amp;'Deal Tracker'!G452))</f>
        <v/>
      </c>
      <c r="G452" s="0" t="str">
        <f aca="false">IF('Deal Tracker'!H452="","","Target: "&amp;TEXT('Deal Tracker'!H452,"mmm yyyy"))</f>
        <v/>
      </c>
    </row>
    <row r="453" customFormat="false" ht="15" hidden="false" customHeight="false" outlineLevel="0" collapsed="false">
      <c r="A453" s="0" t="str">
        <f aca="false">IF('Deal Tracker'!C453="","",COUNTIF('Deal Tracker'!$C$2:C453,'Deal Tracker'!C453))</f>
        <v/>
      </c>
      <c r="B453" s="0" t="str">
        <f aca="false">IF(A453="","",'Deal Tracker'!C453&amp;"#"&amp;A453)</f>
        <v/>
      </c>
      <c r="C453" s="0" t="str">
        <f aca="false">IF('Deal Tracker'!B453="","",'Deal Tracker'!B453)</f>
        <v/>
      </c>
      <c r="D453" s="0" t="str">
        <f aca="false">IF('Deal Tracker'!B453="","",IF('Deal Tracker'!D453="","TBD","$"&amp;TEXT('Deal Tracker'!D453,"#,##0")&amp;"M"))</f>
        <v/>
      </c>
      <c r="E453" s="0" t="str">
        <f aca="false">IF('Deal Tracker'!B453="","",IF(AND(F453="",G453=""),"",F453&amp;IF(OR(F453="",G453=""),"","  ·  ")&amp;G453))</f>
        <v/>
      </c>
      <c r="F453" s="0" t="str">
        <f aca="false">IF('Deal Tracker'!F453="",IF('Deal Tracker'!G453="","",'Deal Tracker'!G453),'Deal Tracker'!F453&amp;IF('Deal Tracker'!G453="","",", "&amp;'Deal Tracker'!G453))</f>
        <v/>
      </c>
      <c r="G453" s="0" t="str">
        <f aca="false">IF('Deal Tracker'!H453="","","Target: "&amp;TEXT('Deal Tracker'!H453,"mmm yyyy"))</f>
        <v/>
      </c>
    </row>
    <row r="454" customFormat="false" ht="15" hidden="false" customHeight="false" outlineLevel="0" collapsed="false">
      <c r="A454" s="0" t="str">
        <f aca="false">IF('Deal Tracker'!C454="","",COUNTIF('Deal Tracker'!$C$2:C454,'Deal Tracker'!C454))</f>
        <v/>
      </c>
      <c r="B454" s="0" t="str">
        <f aca="false">IF(A454="","",'Deal Tracker'!C454&amp;"#"&amp;A454)</f>
        <v/>
      </c>
      <c r="C454" s="0" t="str">
        <f aca="false">IF('Deal Tracker'!B454="","",'Deal Tracker'!B454)</f>
        <v/>
      </c>
      <c r="D454" s="0" t="str">
        <f aca="false">IF('Deal Tracker'!B454="","",IF('Deal Tracker'!D454="","TBD","$"&amp;TEXT('Deal Tracker'!D454,"#,##0")&amp;"M"))</f>
        <v/>
      </c>
      <c r="E454" s="0" t="str">
        <f aca="false">IF('Deal Tracker'!B454="","",IF(AND(F454="",G454=""),"",F454&amp;IF(OR(F454="",G454=""),"","  ·  ")&amp;G454))</f>
        <v/>
      </c>
      <c r="F454" s="0" t="str">
        <f aca="false">IF('Deal Tracker'!F454="",IF('Deal Tracker'!G454="","",'Deal Tracker'!G454),'Deal Tracker'!F454&amp;IF('Deal Tracker'!G454="","",", "&amp;'Deal Tracker'!G454))</f>
        <v/>
      </c>
      <c r="G454" s="0" t="str">
        <f aca="false">IF('Deal Tracker'!H454="","","Target: "&amp;TEXT('Deal Tracker'!H454,"mmm yyyy"))</f>
        <v/>
      </c>
    </row>
    <row r="455" customFormat="false" ht="15" hidden="false" customHeight="false" outlineLevel="0" collapsed="false">
      <c r="A455" s="0" t="str">
        <f aca="false">IF('Deal Tracker'!C455="","",COUNTIF('Deal Tracker'!$C$2:C455,'Deal Tracker'!C455))</f>
        <v/>
      </c>
      <c r="B455" s="0" t="str">
        <f aca="false">IF(A455="","",'Deal Tracker'!C455&amp;"#"&amp;A455)</f>
        <v/>
      </c>
      <c r="C455" s="0" t="str">
        <f aca="false">IF('Deal Tracker'!B455="","",'Deal Tracker'!B455)</f>
        <v/>
      </c>
      <c r="D455" s="0" t="str">
        <f aca="false">IF('Deal Tracker'!B455="","",IF('Deal Tracker'!D455="","TBD","$"&amp;TEXT('Deal Tracker'!D455,"#,##0")&amp;"M"))</f>
        <v/>
      </c>
      <c r="E455" s="0" t="str">
        <f aca="false">IF('Deal Tracker'!B455="","",IF(AND(F455="",G455=""),"",F455&amp;IF(OR(F455="",G455=""),"","  ·  ")&amp;G455))</f>
        <v/>
      </c>
      <c r="F455" s="0" t="str">
        <f aca="false">IF('Deal Tracker'!F455="",IF('Deal Tracker'!G455="","",'Deal Tracker'!G455),'Deal Tracker'!F455&amp;IF('Deal Tracker'!G455="","",", "&amp;'Deal Tracker'!G455))</f>
        <v/>
      </c>
      <c r="G455" s="0" t="str">
        <f aca="false">IF('Deal Tracker'!H455="","","Target: "&amp;TEXT('Deal Tracker'!H455,"mmm yyyy"))</f>
        <v/>
      </c>
    </row>
    <row r="456" customFormat="false" ht="15" hidden="false" customHeight="false" outlineLevel="0" collapsed="false">
      <c r="A456" s="0" t="str">
        <f aca="false">IF('Deal Tracker'!C456="","",COUNTIF('Deal Tracker'!$C$2:C456,'Deal Tracker'!C456))</f>
        <v/>
      </c>
      <c r="B456" s="0" t="str">
        <f aca="false">IF(A456="","",'Deal Tracker'!C456&amp;"#"&amp;A456)</f>
        <v/>
      </c>
      <c r="C456" s="0" t="str">
        <f aca="false">IF('Deal Tracker'!B456="","",'Deal Tracker'!B456)</f>
        <v/>
      </c>
      <c r="D456" s="0" t="str">
        <f aca="false">IF('Deal Tracker'!B456="","",IF('Deal Tracker'!D456="","TBD","$"&amp;TEXT('Deal Tracker'!D456,"#,##0")&amp;"M"))</f>
        <v/>
      </c>
      <c r="E456" s="0" t="str">
        <f aca="false">IF('Deal Tracker'!B456="","",IF(AND(F456="",G456=""),"",F456&amp;IF(OR(F456="",G456=""),"","  ·  ")&amp;G456))</f>
        <v/>
      </c>
      <c r="F456" s="0" t="str">
        <f aca="false">IF('Deal Tracker'!F456="",IF('Deal Tracker'!G456="","",'Deal Tracker'!G456),'Deal Tracker'!F456&amp;IF('Deal Tracker'!G456="","",", "&amp;'Deal Tracker'!G456))</f>
        <v/>
      </c>
      <c r="G456" s="0" t="str">
        <f aca="false">IF('Deal Tracker'!H456="","","Target: "&amp;TEXT('Deal Tracker'!H456,"mmm yyyy"))</f>
        <v/>
      </c>
    </row>
    <row r="457" customFormat="false" ht="15" hidden="false" customHeight="false" outlineLevel="0" collapsed="false">
      <c r="A457" s="0" t="str">
        <f aca="false">IF('Deal Tracker'!C457="","",COUNTIF('Deal Tracker'!$C$2:C457,'Deal Tracker'!C457))</f>
        <v/>
      </c>
      <c r="B457" s="0" t="str">
        <f aca="false">IF(A457="","",'Deal Tracker'!C457&amp;"#"&amp;A457)</f>
        <v/>
      </c>
      <c r="C457" s="0" t="str">
        <f aca="false">IF('Deal Tracker'!B457="","",'Deal Tracker'!B457)</f>
        <v/>
      </c>
      <c r="D457" s="0" t="str">
        <f aca="false">IF('Deal Tracker'!B457="","",IF('Deal Tracker'!D457="","TBD","$"&amp;TEXT('Deal Tracker'!D457,"#,##0")&amp;"M"))</f>
        <v/>
      </c>
      <c r="E457" s="0" t="str">
        <f aca="false">IF('Deal Tracker'!B457="","",IF(AND(F457="",G457=""),"",F457&amp;IF(OR(F457="",G457=""),"","  ·  ")&amp;G457))</f>
        <v/>
      </c>
      <c r="F457" s="0" t="str">
        <f aca="false">IF('Deal Tracker'!F457="",IF('Deal Tracker'!G457="","",'Deal Tracker'!G457),'Deal Tracker'!F457&amp;IF('Deal Tracker'!G457="","",", "&amp;'Deal Tracker'!G457))</f>
        <v/>
      </c>
      <c r="G457" s="0" t="str">
        <f aca="false">IF('Deal Tracker'!H457="","","Target: "&amp;TEXT('Deal Tracker'!H457,"mmm yyyy"))</f>
        <v/>
      </c>
    </row>
    <row r="458" customFormat="false" ht="15" hidden="false" customHeight="false" outlineLevel="0" collapsed="false">
      <c r="A458" s="0" t="str">
        <f aca="false">IF('Deal Tracker'!C458="","",COUNTIF('Deal Tracker'!$C$2:C458,'Deal Tracker'!C458))</f>
        <v/>
      </c>
      <c r="B458" s="0" t="str">
        <f aca="false">IF(A458="","",'Deal Tracker'!C458&amp;"#"&amp;A458)</f>
        <v/>
      </c>
      <c r="C458" s="0" t="str">
        <f aca="false">IF('Deal Tracker'!B458="","",'Deal Tracker'!B458)</f>
        <v/>
      </c>
      <c r="D458" s="0" t="str">
        <f aca="false">IF('Deal Tracker'!B458="","",IF('Deal Tracker'!D458="","TBD","$"&amp;TEXT('Deal Tracker'!D458,"#,##0")&amp;"M"))</f>
        <v/>
      </c>
      <c r="E458" s="0" t="str">
        <f aca="false">IF('Deal Tracker'!B458="","",IF(AND(F458="",G458=""),"",F458&amp;IF(OR(F458="",G458=""),"","  ·  ")&amp;G458))</f>
        <v/>
      </c>
      <c r="F458" s="0" t="str">
        <f aca="false">IF('Deal Tracker'!F458="",IF('Deal Tracker'!G458="","",'Deal Tracker'!G458),'Deal Tracker'!F458&amp;IF('Deal Tracker'!G458="","",", "&amp;'Deal Tracker'!G458))</f>
        <v/>
      </c>
      <c r="G458" s="0" t="str">
        <f aca="false">IF('Deal Tracker'!H458="","","Target: "&amp;TEXT('Deal Tracker'!H458,"mmm yyyy"))</f>
        <v/>
      </c>
    </row>
    <row r="459" customFormat="false" ht="15" hidden="false" customHeight="false" outlineLevel="0" collapsed="false">
      <c r="A459" s="0" t="str">
        <f aca="false">IF('Deal Tracker'!C459="","",COUNTIF('Deal Tracker'!$C$2:C459,'Deal Tracker'!C459))</f>
        <v/>
      </c>
      <c r="B459" s="0" t="str">
        <f aca="false">IF(A459="","",'Deal Tracker'!C459&amp;"#"&amp;A459)</f>
        <v/>
      </c>
      <c r="C459" s="0" t="str">
        <f aca="false">IF('Deal Tracker'!B459="","",'Deal Tracker'!B459)</f>
        <v/>
      </c>
      <c r="D459" s="0" t="str">
        <f aca="false">IF('Deal Tracker'!B459="","",IF('Deal Tracker'!D459="","TBD","$"&amp;TEXT('Deal Tracker'!D459,"#,##0")&amp;"M"))</f>
        <v/>
      </c>
      <c r="E459" s="0" t="str">
        <f aca="false">IF('Deal Tracker'!B459="","",IF(AND(F459="",G459=""),"",F459&amp;IF(OR(F459="",G459=""),"","  ·  ")&amp;G459))</f>
        <v/>
      </c>
      <c r="F459" s="0" t="str">
        <f aca="false">IF('Deal Tracker'!F459="",IF('Deal Tracker'!G459="","",'Deal Tracker'!G459),'Deal Tracker'!F459&amp;IF('Deal Tracker'!G459="","",", "&amp;'Deal Tracker'!G459))</f>
        <v/>
      </c>
      <c r="G459" s="0" t="str">
        <f aca="false">IF('Deal Tracker'!H459="","","Target: "&amp;TEXT('Deal Tracker'!H459,"mmm yyyy"))</f>
        <v/>
      </c>
    </row>
    <row r="460" customFormat="false" ht="15" hidden="false" customHeight="false" outlineLevel="0" collapsed="false">
      <c r="A460" s="0" t="str">
        <f aca="false">IF('Deal Tracker'!C460="","",COUNTIF('Deal Tracker'!$C$2:C460,'Deal Tracker'!C460))</f>
        <v/>
      </c>
      <c r="B460" s="0" t="str">
        <f aca="false">IF(A460="","",'Deal Tracker'!C460&amp;"#"&amp;A460)</f>
        <v/>
      </c>
      <c r="C460" s="0" t="str">
        <f aca="false">IF('Deal Tracker'!B460="","",'Deal Tracker'!B460)</f>
        <v/>
      </c>
      <c r="D460" s="0" t="str">
        <f aca="false">IF('Deal Tracker'!B460="","",IF('Deal Tracker'!D460="","TBD","$"&amp;TEXT('Deal Tracker'!D460,"#,##0")&amp;"M"))</f>
        <v/>
      </c>
      <c r="E460" s="0" t="str">
        <f aca="false">IF('Deal Tracker'!B460="","",IF(AND(F460="",G460=""),"",F460&amp;IF(OR(F460="",G460=""),"","  ·  ")&amp;G460))</f>
        <v/>
      </c>
      <c r="F460" s="0" t="str">
        <f aca="false">IF('Deal Tracker'!F460="",IF('Deal Tracker'!G460="","",'Deal Tracker'!G460),'Deal Tracker'!F460&amp;IF('Deal Tracker'!G460="","",", "&amp;'Deal Tracker'!G460))</f>
        <v/>
      </c>
      <c r="G460" s="0" t="str">
        <f aca="false">IF('Deal Tracker'!H460="","","Target: "&amp;TEXT('Deal Tracker'!H460,"mmm yyyy"))</f>
        <v/>
      </c>
    </row>
    <row r="461" customFormat="false" ht="15" hidden="false" customHeight="false" outlineLevel="0" collapsed="false">
      <c r="A461" s="0" t="str">
        <f aca="false">IF('Deal Tracker'!C461="","",COUNTIF('Deal Tracker'!$C$2:C461,'Deal Tracker'!C461))</f>
        <v/>
      </c>
      <c r="B461" s="0" t="str">
        <f aca="false">IF(A461="","",'Deal Tracker'!C461&amp;"#"&amp;A461)</f>
        <v/>
      </c>
      <c r="C461" s="0" t="str">
        <f aca="false">IF('Deal Tracker'!B461="","",'Deal Tracker'!B461)</f>
        <v/>
      </c>
      <c r="D461" s="0" t="str">
        <f aca="false">IF('Deal Tracker'!B461="","",IF('Deal Tracker'!D461="","TBD","$"&amp;TEXT('Deal Tracker'!D461,"#,##0")&amp;"M"))</f>
        <v/>
      </c>
      <c r="E461" s="0" t="str">
        <f aca="false">IF('Deal Tracker'!B461="","",IF(AND(F461="",G461=""),"",F461&amp;IF(OR(F461="",G461=""),"","  ·  ")&amp;G461))</f>
        <v/>
      </c>
      <c r="F461" s="0" t="str">
        <f aca="false">IF('Deal Tracker'!F461="",IF('Deal Tracker'!G461="","",'Deal Tracker'!G461),'Deal Tracker'!F461&amp;IF('Deal Tracker'!G461="","",", "&amp;'Deal Tracker'!G461))</f>
        <v/>
      </c>
      <c r="G461" s="0" t="str">
        <f aca="false">IF('Deal Tracker'!H461="","","Target: "&amp;TEXT('Deal Tracker'!H461,"mmm yyyy"))</f>
        <v/>
      </c>
    </row>
    <row r="462" customFormat="false" ht="15" hidden="false" customHeight="false" outlineLevel="0" collapsed="false">
      <c r="A462" s="0" t="str">
        <f aca="false">IF('Deal Tracker'!C462="","",COUNTIF('Deal Tracker'!$C$2:C462,'Deal Tracker'!C462))</f>
        <v/>
      </c>
      <c r="B462" s="0" t="str">
        <f aca="false">IF(A462="","",'Deal Tracker'!C462&amp;"#"&amp;A462)</f>
        <v/>
      </c>
      <c r="C462" s="0" t="str">
        <f aca="false">IF('Deal Tracker'!B462="","",'Deal Tracker'!B462)</f>
        <v/>
      </c>
      <c r="D462" s="0" t="str">
        <f aca="false">IF('Deal Tracker'!B462="","",IF('Deal Tracker'!D462="","TBD","$"&amp;TEXT('Deal Tracker'!D462,"#,##0")&amp;"M"))</f>
        <v/>
      </c>
      <c r="E462" s="0" t="str">
        <f aca="false">IF('Deal Tracker'!B462="","",IF(AND(F462="",G462=""),"",F462&amp;IF(OR(F462="",G462=""),"","  ·  ")&amp;G462))</f>
        <v/>
      </c>
      <c r="F462" s="0" t="str">
        <f aca="false">IF('Deal Tracker'!F462="",IF('Deal Tracker'!G462="","",'Deal Tracker'!G462),'Deal Tracker'!F462&amp;IF('Deal Tracker'!G462="","",", "&amp;'Deal Tracker'!G462))</f>
        <v/>
      </c>
      <c r="G462" s="0" t="str">
        <f aca="false">IF('Deal Tracker'!H462="","","Target: "&amp;TEXT('Deal Tracker'!H462,"mmm yyyy"))</f>
        <v/>
      </c>
    </row>
    <row r="463" customFormat="false" ht="15" hidden="false" customHeight="false" outlineLevel="0" collapsed="false">
      <c r="A463" s="0" t="str">
        <f aca="false">IF('Deal Tracker'!C463="","",COUNTIF('Deal Tracker'!$C$2:C463,'Deal Tracker'!C463))</f>
        <v/>
      </c>
      <c r="B463" s="0" t="str">
        <f aca="false">IF(A463="","",'Deal Tracker'!C463&amp;"#"&amp;A463)</f>
        <v/>
      </c>
      <c r="C463" s="0" t="str">
        <f aca="false">IF('Deal Tracker'!B463="","",'Deal Tracker'!B463)</f>
        <v/>
      </c>
      <c r="D463" s="0" t="str">
        <f aca="false">IF('Deal Tracker'!B463="","",IF('Deal Tracker'!D463="","TBD","$"&amp;TEXT('Deal Tracker'!D463,"#,##0")&amp;"M"))</f>
        <v/>
      </c>
      <c r="E463" s="0" t="str">
        <f aca="false">IF('Deal Tracker'!B463="","",IF(AND(F463="",G463=""),"",F463&amp;IF(OR(F463="",G463=""),"","  ·  ")&amp;G463))</f>
        <v/>
      </c>
      <c r="F463" s="0" t="str">
        <f aca="false">IF('Deal Tracker'!F463="",IF('Deal Tracker'!G463="","",'Deal Tracker'!G463),'Deal Tracker'!F463&amp;IF('Deal Tracker'!G463="","",", "&amp;'Deal Tracker'!G463))</f>
        <v/>
      </c>
      <c r="G463" s="0" t="str">
        <f aca="false">IF('Deal Tracker'!H463="","","Target: "&amp;TEXT('Deal Tracker'!H463,"mmm yyyy"))</f>
        <v/>
      </c>
    </row>
    <row r="464" customFormat="false" ht="15" hidden="false" customHeight="false" outlineLevel="0" collapsed="false">
      <c r="A464" s="0" t="str">
        <f aca="false">IF('Deal Tracker'!C464="","",COUNTIF('Deal Tracker'!$C$2:C464,'Deal Tracker'!C464))</f>
        <v/>
      </c>
      <c r="B464" s="0" t="str">
        <f aca="false">IF(A464="","",'Deal Tracker'!C464&amp;"#"&amp;A464)</f>
        <v/>
      </c>
      <c r="C464" s="0" t="str">
        <f aca="false">IF('Deal Tracker'!B464="","",'Deal Tracker'!B464)</f>
        <v/>
      </c>
      <c r="D464" s="0" t="str">
        <f aca="false">IF('Deal Tracker'!B464="","",IF('Deal Tracker'!D464="","TBD","$"&amp;TEXT('Deal Tracker'!D464,"#,##0")&amp;"M"))</f>
        <v/>
      </c>
      <c r="E464" s="0" t="str">
        <f aca="false">IF('Deal Tracker'!B464="","",IF(AND(F464="",G464=""),"",F464&amp;IF(OR(F464="",G464=""),"","  ·  ")&amp;G464))</f>
        <v/>
      </c>
      <c r="F464" s="0" t="str">
        <f aca="false">IF('Deal Tracker'!F464="",IF('Deal Tracker'!G464="","",'Deal Tracker'!G464),'Deal Tracker'!F464&amp;IF('Deal Tracker'!G464="","",", "&amp;'Deal Tracker'!G464))</f>
        <v/>
      </c>
      <c r="G464" s="0" t="str">
        <f aca="false">IF('Deal Tracker'!H464="","","Target: "&amp;TEXT('Deal Tracker'!H464,"mmm yyyy"))</f>
        <v/>
      </c>
    </row>
    <row r="465" customFormat="false" ht="15" hidden="false" customHeight="false" outlineLevel="0" collapsed="false">
      <c r="A465" s="0" t="str">
        <f aca="false">IF('Deal Tracker'!C465="","",COUNTIF('Deal Tracker'!$C$2:C465,'Deal Tracker'!C465))</f>
        <v/>
      </c>
      <c r="B465" s="0" t="str">
        <f aca="false">IF(A465="","",'Deal Tracker'!C465&amp;"#"&amp;A465)</f>
        <v/>
      </c>
      <c r="C465" s="0" t="str">
        <f aca="false">IF('Deal Tracker'!B465="","",'Deal Tracker'!B465)</f>
        <v/>
      </c>
      <c r="D465" s="0" t="str">
        <f aca="false">IF('Deal Tracker'!B465="","",IF('Deal Tracker'!D465="","TBD","$"&amp;TEXT('Deal Tracker'!D465,"#,##0")&amp;"M"))</f>
        <v/>
      </c>
      <c r="E465" s="0" t="str">
        <f aca="false">IF('Deal Tracker'!B465="","",IF(AND(F465="",G465=""),"",F465&amp;IF(OR(F465="",G465=""),"","  ·  ")&amp;G465))</f>
        <v/>
      </c>
      <c r="F465" s="0" t="str">
        <f aca="false">IF('Deal Tracker'!F465="",IF('Deal Tracker'!G465="","",'Deal Tracker'!G465),'Deal Tracker'!F465&amp;IF('Deal Tracker'!G465="","",", "&amp;'Deal Tracker'!G465))</f>
        <v/>
      </c>
      <c r="G465" s="0" t="str">
        <f aca="false">IF('Deal Tracker'!H465="","","Target: "&amp;TEXT('Deal Tracker'!H465,"mmm yyyy"))</f>
        <v/>
      </c>
    </row>
    <row r="466" customFormat="false" ht="15" hidden="false" customHeight="false" outlineLevel="0" collapsed="false">
      <c r="A466" s="0" t="str">
        <f aca="false">IF('Deal Tracker'!C466="","",COUNTIF('Deal Tracker'!$C$2:C466,'Deal Tracker'!C466))</f>
        <v/>
      </c>
      <c r="B466" s="0" t="str">
        <f aca="false">IF(A466="","",'Deal Tracker'!C466&amp;"#"&amp;A466)</f>
        <v/>
      </c>
      <c r="C466" s="0" t="str">
        <f aca="false">IF('Deal Tracker'!B466="","",'Deal Tracker'!B466)</f>
        <v/>
      </c>
      <c r="D466" s="0" t="str">
        <f aca="false">IF('Deal Tracker'!B466="","",IF('Deal Tracker'!D466="","TBD","$"&amp;TEXT('Deal Tracker'!D466,"#,##0")&amp;"M"))</f>
        <v/>
      </c>
      <c r="E466" s="0" t="str">
        <f aca="false">IF('Deal Tracker'!B466="","",IF(AND(F466="",G466=""),"",F466&amp;IF(OR(F466="",G466=""),"","  ·  ")&amp;G466))</f>
        <v/>
      </c>
      <c r="F466" s="0" t="str">
        <f aca="false">IF('Deal Tracker'!F466="",IF('Deal Tracker'!G466="","",'Deal Tracker'!G466),'Deal Tracker'!F466&amp;IF('Deal Tracker'!G466="","",", "&amp;'Deal Tracker'!G466))</f>
        <v/>
      </c>
      <c r="G466" s="0" t="str">
        <f aca="false">IF('Deal Tracker'!H466="","","Target: "&amp;TEXT('Deal Tracker'!H466,"mmm yyyy"))</f>
        <v/>
      </c>
    </row>
    <row r="467" customFormat="false" ht="15" hidden="false" customHeight="false" outlineLevel="0" collapsed="false">
      <c r="A467" s="0" t="str">
        <f aca="false">IF('Deal Tracker'!C467="","",COUNTIF('Deal Tracker'!$C$2:C467,'Deal Tracker'!C467))</f>
        <v/>
      </c>
      <c r="B467" s="0" t="str">
        <f aca="false">IF(A467="","",'Deal Tracker'!C467&amp;"#"&amp;A467)</f>
        <v/>
      </c>
      <c r="C467" s="0" t="str">
        <f aca="false">IF('Deal Tracker'!B467="","",'Deal Tracker'!B467)</f>
        <v/>
      </c>
      <c r="D467" s="0" t="str">
        <f aca="false">IF('Deal Tracker'!B467="","",IF('Deal Tracker'!D467="","TBD","$"&amp;TEXT('Deal Tracker'!D467,"#,##0")&amp;"M"))</f>
        <v/>
      </c>
      <c r="E467" s="0" t="str">
        <f aca="false">IF('Deal Tracker'!B467="","",IF(AND(F467="",G467=""),"",F467&amp;IF(OR(F467="",G467=""),"","  ·  ")&amp;G467))</f>
        <v/>
      </c>
      <c r="F467" s="0" t="str">
        <f aca="false">IF('Deal Tracker'!F467="",IF('Deal Tracker'!G467="","",'Deal Tracker'!G467),'Deal Tracker'!F467&amp;IF('Deal Tracker'!G467="","",", "&amp;'Deal Tracker'!G467))</f>
        <v/>
      </c>
      <c r="G467" s="0" t="str">
        <f aca="false">IF('Deal Tracker'!H467="","","Target: "&amp;TEXT('Deal Tracker'!H467,"mmm yyyy"))</f>
        <v/>
      </c>
    </row>
    <row r="468" customFormat="false" ht="15" hidden="false" customHeight="false" outlineLevel="0" collapsed="false">
      <c r="A468" s="0" t="str">
        <f aca="false">IF('Deal Tracker'!C468="","",COUNTIF('Deal Tracker'!$C$2:C468,'Deal Tracker'!C468))</f>
        <v/>
      </c>
      <c r="B468" s="0" t="str">
        <f aca="false">IF(A468="","",'Deal Tracker'!C468&amp;"#"&amp;A468)</f>
        <v/>
      </c>
      <c r="C468" s="0" t="str">
        <f aca="false">IF('Deal Tracker'!B468="","",'Deal Tracker'!B468)</f>
        <v/>
      </c>
      <c r="D468" s="0" t="str">
        <f aca="false">IF('Deal Tracker'!B468="","",IF('Deal Tracker'!D468="","TBD","$"&amp;TEXT('Deal Tracker'!D468,"#,##0")&amp;"M"))</f>
        <v/>
      </c>
      <c r="E468" s="0" t="str">
        <f aca="false">IF('Deal Tracker'!B468="","",IF(AND(F468="",G468=""),"",F468&amp;IF(OR(F468="",G468=""),"","  ·  ")&amp;G468))</f>
        <v/>
      </c>
      <c r="F468" s="0" t="str">
        <f aca="false">IF('Deal Tracker'!F468="",IF('Deal Tracker'!G468="","",'Deal Tracker'!G468),'Deal Tracker'!F468&amp;IF('Deal Tracker'!G468="","",", "&amp;'Deal Tracker'!G468))</f>
        <v/>
      </c>
      <c r="G468" s="0" t="str">
        <f aca="false">IF('Deal Tracker'!H468="","","Target: "&amp;TEXT('Deal Tracker'!H468,"mmm yyyy"))</f>
        <v/>
      </c>
    </row>
    <row r="469" customFormat="false" ht="15" hidden="false" customHeight="false" outlineLevel="0" collapsed="false">
      <c r="A469" s="0" t="str">
        <f aca="false">IF('Deal Tracker'!C469="","",COUNTIF('Deal Tracker'!$C$2:C469,'Deal Tracker'!C469))</f>
        <v/>
      </c>
      <c r="B469" s="0" t="str">
        <f aca="false">IF(A469="","",'Deal Tracker'!C469&amp;"#"&amp;A469)</f>
        <v/>
      </c>
      <c r="C469" s="0" t="str">
        <f aca="false">IF('Deal Tracker'!B469="","",'Deal Tracker'!B469)</f>
        <v/>
      </c>
      <c r="D469" s="0" t="str">
        <f aca="false">IF('Deal Tracker'!B469="","",IF('Deal Tracker'!D469="","TBD","$"&amp;TEXT('Deal Tracker'!D469,"#,##0")&amp;"M"))</f>
        <v/>
      </c>
      <c r="E469" s="0" t="str">
        <f aca="false">IF('Deal Tracker'!B469="","",IF(AND(F469="",G469=""),"",F469&amp;IF(OR(F469="",G469=""),"","  ·  ")&amp;G469))</f>
        <v/>
      </c>
      <c r="F469" s="0" t="str">
        <f aca="false">IF('Deal Tracker'!F469="",IF('Deal Tracker'!G469="","",'Deal Tracker'!G469),'Deal Tracker'!F469&amp;IF('Deal Tracker'!G469="","",", "&amp;'Deal Tracker'!G469))</f>
        <v/>
      </c>
      <c r="G469" s="0" t="str">
        <f aca="false">IF('Deal Tracker'!H469="","","Target: "&amp;TEXT('Deal Tracker'!H469,"mmm yyyy"))</f>
        <v/>
      </c>
    </row>
    <row r="470" customFormat="false" ht="15" hidden="false" customHeight="false" outlineLevel="0" collapsed="false">
      <c r="A470" s="0" t="str">
        <f aca="false">IF('Deal Tracker'!C470="","",COUNTIF('Deal Tracker'!$C$2:C470,'Deal Tracker'!C470))</f>
        <v/>
      </c>
      <c r="B470" s="0" t="str">
        <f aca="false">IF(A470="","",'Deal Tracker'!C470&amp;"#"&amp;A470)</f>
        <v/>
      </c>
      <c r="C470" s="0" t="str">
        <f aca="false">IF('Deal Tracker'!B470="","",'Deal Tracker'!B470)</f>
        <v/>
      </c>
      <c r="D470" s="0" t="str">
        <f aca="false">IF('Deal Tracker'!B470="","",IF('Deal Tracker'!D470="","TBD","$"&amp;TEXT('Deal Tracker'!D470,"#,##0")&amp;"M"))</f>
        <v/>
      </c>
      <c r="E470" s="0" t="str">
        <f aca="false">IF('Deal Tracker'!B470="","",IF(AND(F470="",G470=""),"",F470&amp;IF(OR(F470="",G470=""),"","  ·  ")&amp;G470))</f>
        <v/>
      </c>
      <c r="F470" s="0" t="str">
        <f aca="false">IF('Deal Tracker'!F470="",IF('Deal Tracker'!G470="","",'Deal Tracker'!G470),'Deal Tracker'!F470&amp;IF('Deal Tracker'!G470="","",", "&amp;'Deal Tracker'!G470))</f>
        <v/>
      </c>
      <c r="G470" s="0" t="str">
        <f aca="false">IF('Deal Tracker'!H470="","","Target: "&amp;TEXT('Deal Tracker'!H470,"mmm yyyy"))</f>
        <v/>
      </c>
    </row>
    <row r="471" customFormat="false" ht="15" hidden="false" customHeight="false" outlineLevel="0" collapsed="false">
      <c r="A471" s="0" t="str">
        <f aca="false">IF('Deal Tracker'!C471="","",COUNTIF('Deal Tracker'!$C$2:C471,'Deal Tracker'!C471))</f>
        <v/>
      </c>
      <c r="B471" s="0" t="str">
        <f aca="false">IF(A471="","",'Deal Tracker'!C471&amp;"#"&amp;A471)</f>
        <v/>
      </c>
      <c r="C471" s="0" t="str">
        <f aca="false">IF('Deal Tracker'!B471="","",'Deal Tracker'!B471)</f>
        <v/>
      </c>
      <c r="D471" s="0" t="str">
        <f aca="false">IF('Deal Tracker'!B471="","",IF('Deal Tracker'!D471="","TBD","$"&amp;TEXT('Deal Tracker'!D471,"#,##0")&amp;"M"))</f>
        <v/>
      </c>
      <c r="E471" s="0" t="str">
        <f aca="false">IF('Deal Tracker'!B471="","",IF(AND(F471="",G471=""),"",F471&amp;IF(OR(F471="",G471=""),"","  ·  ")&amp;G471))</f>
        <v/>
      </c>
      <c r="F471" s="0" t="str">
        <f aca="false">IF('Deal Tracker'!F471="",IF('Deal Tracker'!G471="","",'Deal Tracker'!G471),'Deal Tracker'!F471&amp;IF('Deal Tracker'!G471="","",", "&amp;'Deal Tracker'!G471))</f>
        <v/>
      </c>
      <c r="G471" s="0" t="str">
        <f aca="false">IF('Deal Tracker'!H471="","","Target: "&amp;TEXT('Deal Tracker'!H471,"mmm yyyy"))</f>
        <v/>
      </c>
    </row>
    <row r="472" customFormat="false" ht="15" hidden="false" customHeight="false" outlineLevel="0" collapsed="false">
      <c r="A472" s="0" t="str">
        <f aca="false">IF('Deal Tracker'!C472="","",COUNTIF('Deal Tracker'!$C$2:C472,'Deal Tracker'!C472))</f>
        <v/>
      </c>
      <c r="B472" s="0" t="str">
        <f aca="false">IF(A472="","",'Deal Tracker'!C472&amp;"#"&amp;A472)</f>
        <v/>
      </c>
      <c r="C472" s="0" t="str">
        <f aca="false">IF('Deal Tracker'!B472="","",'Deal Tracker'!B472)</f>
        <v/>
      </c>
      <c r="D472" s="0" t="str">
        <f aca="false">IF('Deal Tracker'!B472="","",IF('Deal Tracker'!D472="","TBD","$"&amp;TEXT('Deal Tracker'!D472,"#,##0")&amp;"M"))</f>
        <v/>
      </c>
      <c r="E472" s="0" t="str">
        <f aca="false">IF('Deal Tracker'!B472="","",IF(AND(F472="",G472=""),"",F472&amp;IF(OR(F472="",G472=""),"","  ·  ")&amp;G472))</f>
        <v/>
      </c>
      <c r="F472" s="0" t="str">
        <f aca="false">IF('Deal Tracker'!F472="",IF('Deal Tracker'!G472="","",'Deal Tracker'!G472),'Deal Tracker'!F472&amp;IF('Deal Tracker'!G472="","",", "&amp;'Deal Tracker'!G472))</f>
        <v/>
      </c>
      <c r="G472" s="0" t="str">
        <f aca="false">IF('Deal Tracker'!H472="","","Target: "&amp;TEXT('Deal Tracker'!H472,"mmm yyyy"))</f>
        <v/>
      </c>
    </row>
    <row r="473" customFormat="false" ht="15" hidden="false" customHeight="false" outlineLevel="0" collapsed="false">
      <c r="A473" s="0" t="str">
        <f aca="false">IF('Deal Tracker'!C473="","",COUNTIF('Deal Tracker'!$C$2:C473,'Deal Tracker'!C473))</f>
        <v/>
      </c>
      <c r="B473" s="0" t="str">
        <f aca="false">IF(A473="","",'Deal Tracker'!C473&amp;"#"&amp;A473)</f>
        <v/>
      </c>
      <c r="C473" s="0" t="str">
        <f aca="false">IF('Deal Tracker'!B473="","",'Deal Tracker'!B473)</f>
        <v/>
      </c>
      <c r="D473" s="0" t="str">
        <f aca="false">IF('Deal Tracker'!B473="","",IF('Deal Tracker'!D473="","TBD","$"&amp;TEXT('Deal Tracker'!D473,"#,##0")&amp;"M"))</f>
        <v/>
      </c>
      <c r="E473" s="0" t="str">
        <f aca="false">IF('Deal Tracker'!B473="","",IF(AND(F473="",G473=""),"",F473&amp;IF(OR(F473="",G473=""),"","  ·  ")&amp;G473))</f>
        <v/>
      </c>
      <c r="F473" s="0" t="str">
        <f aca="false">IF('Deal Tracker'!F473="",IF('Deal Tracker'!G473="","",'Deal Tracker'!G473),'Deal Tracker'!F473&amp;IF('Deal Tracker'!G473="","",", "&amp;'Deal Tracker'!G473))</f>
        <v/>
      </c>
      <c r="G473" s="0" t="str">
        <f aca="false">IF('Deal Tracker'!H473="","","Target: "&amp;TEXT('Deal Tracker'!H473,"mmm yyyy"))</f>
        <v/>
      </c>
    </row>
    <row r="474" customFormat="false" ht="15" hidden="false" customHeight="false" outlineLevel="0" collapsed="false">
      <c r="A474" s="0" t="str">
        <f aca="false">IF('Deal Tracker'!C474="","",COUNTIF('Deal Tracker'!$C$2:C474,'Deal Tracker'!C474))</f>
        <v/>
      </c>
      <c r="B474" s="0" t="str">
        <f aca="false">IF(A474="","",'Deal Tracker'!C474&amp;"#"&amp;A474)</f>
        <v/>
      </c>
      <c r="C474" s="0" t="str">
        <f aca="false">IF('Deal Tracker'!B474="","",'Deal Tracker'!B474)</f>
        <v/>
      </c>
      <c r="D474" s="0" t="str">
        <f aca="false">IF('Deal Tracker'!B474="","",IF('Deal Tracker'!D474="","TBD","$"&amp;TEXT('Deal Tracker'!D474,"#,##0")&amp;"M"))</f>
        <v/>
      </c>
      <c r="E474" s="0" t="str">
        <f aca="false">IF('Deal Tracker'!B474="","",IF(AND(F474="",G474=""),"",F474&amp;IF(OR(F474="",G474=""),"","  ·  ")&amp;G474))</f>
        <v/>
      </c>
      <c r="F474" s="0" t="str">
        <f aca="false">IF('Deal Tracker'!F474="",IF('Deal Tracker'!G474="","",'Deal Tracker'!G474),'Deal Tracker'!F474&amp;IF('Deal Tracker'!G474="","",", "&amp;'Deal Tracker'!G474))</f>
        <v/>
      </c>
      <c r="G474" s="0" t="str">
        <f aca="false">IF('Deal Tracker'!H474="","","Target: "&amp;TEXT('Deal Tracker'!H474,"mmm yyyy"))</f>
        <v/>
      </c>
    </row>
    <row r="475" customFormat="false" ht="15" hidden="false" customHeight="false" outlineLevel="0" collapsed="false">
      <c r="A475" s="0" t="str">
        <f aca="false">IF('Deal Tracker'!C475="","",COUNTIF('Deal Tracker'!$C$2:C475,'Deal Tracker'!C475))</f>
        <v/>
      </c>
      <c r="B475" s="0" t="str">
        <f aca="false">IF(A475="","",'Deal Tracker'!C475&amp;"#"&amp;A475)</f>
        <v/>
      </c>
      <c r="C475" s="0" t="str">
        <f aca="false">IF('Deal Tracker'!B475="","",'Deal Tracker'!B475)</f>
        <v/>
      </c>
      <c r="D475" s="0" t="str">
        <f aca="false">IF('Deal Tracker'!B475="","",IF('Deal Tracker'!D475="","TBD","$"&amp;TEXT('Deal Tracker'!D475,"#,##0")&amp;"M"))</f>
        <v/>
      </c>
      <c r="E475" s="0" t="str">
        <f aca="false">IF('Deal Tracker'!B475="","",IF(AND(F475="",G475=""),"",F475&amp;IF(OR(F475="",G475=""),"","  ·  ")&amp;G475))</f>
        <v/>
      </c>
      <c r="F475" s="0" t="str">
        <f aca="false">IF('Deal Tracker'!F475="",IF('Deal Tracker'!G475="","",'Deal Tracker'!G475),'Deal Tracker'!F475&amp;IF('Deal Tracker'!G475="","",", "&amp;'Deal Tracker'!G475))</f>
        <v/>
      </c>
      <c r="G475" s="0" t="str">
        <f aca="false">IF('Deal Tracker'!H475="","","Target: "&amp;TEXT('Deal Tracker'!H475,"mmm yyyy"))</f>
        <v/>
      </c>
    </row>
    <row r="476" customFormat="false" ht="15" hidden="false" customHeight="false" outlineLevel="0" collapsed="false">
      <c r="A476" s="0" t="str">
        <f aca="false">IF('Deal Tracker'!C476="","",COUNTIF('Deal Tracker'!$C$2:C476,'Deal Tracker'!C476))</f>
        <v/>
      </c>
      <c r="B476" s="0" t="str">
        <f aca="false">IF(A476="","",'Deal Tracker'!C476&amp;"#"&amp;A476)</f>
        <v/>
      </c>
      <c r="C476" s="0" t="str">
        <f aca="false">IF('Deal Tracker'!B476="","",'Deal Tracker'!B476)</f>
        <v/>
      </c>
      <c r="D476" s="0" t="str">
        <f aca="false">IF('Deal Tracker'!B476="","",IF('Deal Tracker'!D476="","TBD","$"&amp;TEXT('Deal Tracker'!D476,"#,##0")&amp;"M"))</f>
        <v/>
      </c>
      <c r="E476" s="0" t="str">
        <f aca="false">IF('Deal Tracker'!B476="","",IF(AND(F476="",G476=""),"",F476&amp;IF(OR(F476="",G476=""),"","  ·  ")&amp;G476))</f>
        <v/>
      </c>
      <c r="F476" s="0" t="str">
        <f aca="false">IF('Deal Tracker'!F476="",IF('Deal Tracker'!G476="","",'Deal Tracker'!G476),'Deal Tracker'!F476&amp;IF('Deal Tracker'!G476="","",", "&amp;'Deal Tracker'!G476))</f>
        <v/>
      </c>
      <c r="G476" s="0" t="str">
        <f aca="false">IF('Deal Tracker'!H476="","","Target: "&amp;TEXT('Deal Tracker'!H476,"mmm yyyy"))</f>
        <v/>
      </c>
    </row>
    <row r="477" customFormat="false" ht="15" hidden="false" customHeight="false" outlineLevel="0" collapsed="false">
      <c r="A477" s="0" t="str">
        <f aca="false">IF('Deal Tracker'!C477="","",COUNTIF('Deal Tracker'!$C$2:C477,'Deal Tracker'!C477))</f>
        <v/>
      </c>
      <c r="B477" s="0" t="str">
        <f aca="false">IF(A477="","",'Deal Tracker'!C477&amp;"#"&amp;A477)</f>
        <v/>
      </c>
      <c r="C477" s="0" t="str">
        <f aca="false">IF('Deal Tracker'!B477="","",'Deal Tracker'!B477)</f>
        <v/>
      </c>
      <c r="D477" s="0" t="str">
        <f aca="false">IF('Deal Tracker'!B477="","",IF('Deal Tracker'!D477="","TBD","$"&amp;TEXT('Deal Tracker'!D477,"#,##0")&amp;"M"))</f>
        <v/>
      </c>
      <c r="E477" s="0" t="str">
        <f aca="false">IF('Deal Tracker'!B477="","",IF(AND(F477="",G477=""),"",F477&amp;IF(OR(F477="",G477=""),"","  ·  ")&amp;G477))</f>
        <v/>
      </c>
      <c r="F477" s="0" t="str">
        <f aca="false">IF('Deal Tracker'!F477="",IF('Deal Tracker'!G477="","",'Deal Tracker'!G477),'Deal Tracker'!F477&amp;IF('Deal Tracker'!G477="","",", "&amp;'Deal Tracker'!G477))</f>
        <v/>
      </c>
      <c r="G477" s="0" t="str">
        <f aca="false">IF('Deal Tracker'!H477="","","Target: "&amp;TEXT('Deal Tracker'!H477,"mmm yyyy"))</f>
        <v/>
      </c>
    </row>
    <row r="478" customFormat="false" ht="15" hidden="false" customHeight="false" outlineLevel="0" collapsed="false">
      <c r="A478" s="0" t="str">
        <f aca="false">IF('Deal Tracker'!C478="","",COUNTIF('Deal Tracker'!$C$2:C478,'Deal Tracker'!C478))</f>
        <v/>
      </c>
      <c r="B478" s="0" t="str">
        <f aca="false">IF(A478="","",'Deal Tracker'!C478&amp;"#"&amp;A478)</f>
        <v/>
      </c>
      <c r="C478" s="0" t="str">
        <f aca="false">IF('Deal Tracker'!B478="","",'Deal Tracker'!B478)</f>
        <v/>
      </c>
      <c r="D478" s="0" t="str">
        <f aca="false">IF('Deal Tracker'!B478="","",IF('Deal Tracker'!D478="","TBD","$"&amp;TEXT('Deal Tracker'!D478,"#,##0")&amp;"M"))</f>
        <v/>
      </c>
      <c r="E478" s="0" t="str">
        <f aca="false">IF('Deal Tracker'!B478="","",IF(AND(F478="",G478=""),"",F478&amp;IF(OR(F478="",G478=""),"","  ·  ")&amp;G478))</f>
        <v/>
      </c>
      <c r="F478" s="0" t="str">
        <f aca="false">IF('Deal Tracker'!F478="",IF('Deal Tracker'!G478="","",'Deal Tracker'!G478),'Deal Tracker'!F478&amp;IF('Deal Tracker'!G478="","",", "&amp;'Deal Tracker'!G478))</f>
        <v/>
      </c>
      <c r="G478" s="0" t="str">
        <f aca="false">IF('Deal Tracker'!H478="","","Target: "&amp;TEXT('Deal Tracker'!H478,"mmm yyyy"))</f>
        <v/>
      </c>
    </row>
    <row r="479" customFormat="false" ht="15" hidden="false" customHeight="false" outlineLevel="0" collapsed="false">
      <c r="A479" s="0" t="str">
        <f aca="false">IF('Deal Tracker'!C479="","",COUNTIF('Deal Tracker'!$C$2:C479,'Deal Tracker'!C479))</f>
        <v/>
      </c>
      <c r="B479" s="0" t="str">
        <f aca="false">IF(A479="","",'Deal Tracker'!C479&amp;"#"&amp;A479)</f>
        <v/>
      </c>
      <c r="C479" s="0" t="str">
        <f aca="false">IF('Deal Tracker'!B479="","",'Deal Tracker'!B479)</f>
        <v/>
      </c>
      <c r="D479" s="0" t="str">
        <f aca="false">IF('Deal Tracker'!B479="","",IF('Deal Tracker'!D479="","TBD","$"&amp;TEXT('Deal Tracker'!D479,"#,##0")&amp;"M"))</f>
        <v/>
      </c>
      <c r="E479" s="0" t="str">
        <f aca="false">IF('Deal Tracker'!B479="","",IF(AND(F479="",G479=""),"",F479&amp;IF(OR(F479="",G479=""),"","  ·  ")&amp;G479))</f>
        <v/>
      </c>
      <c r="F479" s="0" t="str">
        <f aca="false">IF('Deal Tracker'!F479="",IF('Deal Tracker'!G479="","",'Deal Tracker'!G479),'Deal Tracker'!F479&amp;IF('Deal Tracker'!G479="","",", "&amp;'Deal Tracker'!G479))</f>
        <v/>
      </c>
      <c r="G479" s="0" t="str">
        <f aca="false">IF('Deal Tracker'!H479="","","Target: "&amp;TEXT('Deal Tracker'!H479,"mmm yyyy"))</f>
        <v/>
      </c>
    </row>
    <row r="480" customFormat="false" ht="15" hidden="false" customHeight="false" outlineLevel="0" collapsed="false">
      <c r="A480" s="0" t="str">
        <f aca="false">IF('Deal Tracker'!C480="","",COUNTIF('Deal Tracker'!$C$2:C480,'Deal Tracker'!C480))</f>
        <v/>
      </c>
      <c r="B480" s="0" t="str">
        <f aca="false">IF(A480="","",'Deal Tracker'!C480&amp;"#"&amp;A480)</f>
        <v/>
      </c>
      <c r="C480" s="0" t="str">
        <f aca="false">IF('Deal Tracker'!B480="","",'Deal Tracker'!B480)</f>
        <v/>
      </c>
      <c r="D480" s="0" t="str">
        <f aca="false">IF('Deal Tracker'!B480="","",IF('Deal Tracker'!D480="","TBD","$"&amp;TEXT('Deal Tracker'!D480,"#,##0")&amp;"M"))</f>
        <v/>
      </c>
      <c r="E480" s="0" t="str">
        <f aca="false">IF('Deal Tracker'!B480="","",IF(AND(F480="",G480=""),"",F480&amp;IF(OR(F480="",G480=""),"","  ·  ")&amp;G480))</f>
        <v/>
      </c>
      <c r="F480" s="0" t="str">
        <f aca="false">IF('Deal Tracker'!F480="",IF('Deal Tracker'!G480="","",'Deal Tracker'!G480),'Deal Tracker'!F480&amp;IF('Deal Tracker'!G480="","",", "&amp;'Deal Tracker'!G480))</f>
        <v/>
      </c>
      <c r="G480" s="0" t="str">
        <f aca="false">IF('Deal Tracker'!H480="","","Target: "&amp;TEXT('Deal Tracker'!H480,"mmm yyyy"))</f>
        <v/>
      </c>
    </row>
    <row r="481" customFormat="false" ht="15" hidden="false" customHeight="false" outlineLevel="0" collapsed="false">
      <c r="A481" s="0" t="str">
        <f aca="false">IF('Deal Tracker'!C481="","",COUNTIF('Deal Tracker'!$C$2:C481,'Deal Tracker'!C481))</f>
        <v/>
      </c>
      <c r="B481" s="0" t="str">
        <f aca="false">IF(A481="","",'Deal Tracker'!C481&amp;"#"&amp;A481)</f>
        <v/>
      </c>
      <c r="C481" s="0" t="str">
        <f aca="false">IF('Deal Tracker'!B481="","",'Deal Tracker'!B481)</f>
        <v/>
      </c>
      <c r="D481" s="0" t="str">
        <f aca="false">IF('Deal Tracker'!B481="","",IF('Deal Tracker'!D481="","TBD","$"&amp;TEXT('Deal Tracker'!D481,"#,##0")&amp;"M"))</f>
        <v/>
      </c>
      <c r="E481" s="0" t="str">
        <f aca="false">IF('Deal Tracker'!B481="","",IF(AND(F481="",G481=""),"",F481&amp;IF(OR(F481="",G481=""),"","  ·  ")&amp;G481))</f>
        <v/>
      </c>
      <c r="F481" s="0" t="str">
        <f aca="false">IF('Deal Tracker'!F481="",IF('Deal Tracker'!G481="","",'Deal Tracker'!G481),'Deal Tracker'!F481&amp;IF('Deal Tracker'!G481="","",", "&amp;'Deal Tracker'!G481))</f>
        <v/>
      </c>
      <c r="G481" s="0" t="str">
        <f aca="false">IF('Deal Tracker'!H481="","","Target: "&amp;TEXT('Deal Tracker'!H481,"mmm yyyy"))</f>
        <v/>
      </c>
    </row>
    <row r="482" customFormat="false" ht="15" hidden="false" customHeight="false" outlineLevel="0" collapsed="false">
      <c r="A482" s="0" t="str">
        <f aca="false">IF('Deal Tracker'!C482="","",COUNTIF('Deal Tracker'!$C$2:C482,'Deal Tracker'!C482))</f>
        <v/>
      </c>
      <c r="B482" s="0" t="str">
        <f aca="false">IF(A482="","",'Deal Tracker'!C482&amp;"#"&amp;A482)</f>
        <v/>
      </c>
      <c r="C482" s="0" t="str">
        <f aca="false">IF('Deal Tracker'!B482="","",'Deal Tracker'!B482)</f>
        <v/>
      </c>
      <c r="D482" s="0" t="str">
        <f aca="false">IF('Deal Tracker'!B482="","",IF('Deal Tracker'!D482="","TBD","$"&amp;TEXT('Deal Tracker'!D482,"#,##0")&amp;"M"))</f>
        <v/>
      </c>
      <c r="E482" s="0" t="str">
        <f aca="false">IF('Deal Tracker'!B482="","",IF(AND(F482="",G482=""),"",F482&amp;IF(OR(F482="",G482=""),"","  ·  ")&amp;G482))</f>
        <v/>
      </c>
      <c r="F482" s="0" t="str">
        <f aca="false">IF('Deal Tracker'!F482="",IF('Deal Tracker'!G482="","",'Deal Tracker'!G482),'Deal Tracker'!F482&amp;IF('Deal Tracker'!G482="","",", "&amp;'Deal Tracker'!G482))</f>
        <v/>
      </c>
      <c r="G482" s="0" t="str">
        <f aca="false">IF('Deal Tracker'!H482="","","Target: "&amp;TEXT('Deal Tracker'!H482,"mmm yyyy"))</f>
        <v/>
      </c>
    </row>
    <row r="483" customFormat="false" ht="15" hidden="false" customHeight="false" outlineLevel="0" collapsed="false">
      <c r="A483" s="0" t="str">
        <f aca="false">IF('Deal Tracker'!C483="","",COUNTIF('Deal Tracker'!$C$2:C483,'Deal Tracker'!C483))</f>
        <v/>
      </c>
      <c r="B483" s="0" t="str">
        <f aca="false">IF(A483="","",'Deal Tracker'!C483&amp;"#"&amp;A483)</f>
        <v/>
      </c>
      <c r="C483" s="0" t="str">
        <f aca="false">IF('Deal Tracker'!B483="","",'Deal Tracker'!B483)</f>
        <v/>
      </c>
      <c r="D483" s="0" t="str">
        <f aca="false">IF('Deal Tracker'!B483="","",IF('Deal Tracker'!D483="","TBD","$"&amp;TEXT('Deal Tracker'!D483,"#,##0")&amp;"M"))</f>
        <v/>
      </c>
      <c r="E483" s="0" t="str">
        <f aca="false">IF('Deal Tracker'!B483="","",IF(AND(F483="",G483=""),"",F483&amp;IF(OR(F483="",G483=""),"","  ·  ")&amp;G483))</f>
        <v/>
      </c>
      <c r="F483" s="0" t="str">
        <f aca="false">IF('Deal Tracker'!F483="",IF('Deal Tracker'!G483="","",'Deal Tracker'!G483),'Deal Tracker'!F483&amp;IF('Deal Tracker'!G483="","",", "&amp;'Deal Tracker'!G483))</f>
        <v/>
      </c>
      <c r="G483" s="0" t="str">
        <f aca="false">IF('Deal Tracker'!H483="","","Target: "&amp;TEXT('Deal Tracker'!H483,"mmm yyyy"))</f>
        <v/>
      </c>
    </row>
    <row r="484" customFormat="false" ht="15" hidden="false" customHeight="false" outlineLevel="0" collapsed="false">
      <c r="A484" s="0" t="str">
        <f aca="false">IF('Deal Tracker'!C484="","",COUNTIF('Deal Tracker'!$C$2:C484,'Deal Tracker'!C484))</f>
        <v/>
      </c>
      <c r="B484" s="0" t="str">
        <f aca="false">IF(A484="","",'Deal Tracker'!C484&amp;"#"&amp;A484)</f>
        <v/>
      </c>
      <c r="C484" s="0" t="str">
        <f aca="false">IF('Deal Tracker'!B484="","",'Deal Tracker'!B484)</f>
        <v/>
      </c>
      <c r="D484" s="0" t="str">
        <f aca="false">IF('Deal Tracker'!B484="","",IF('Deal Tracker'!D484="","TBD","$"&amp;TEXT('Deal Tracker'!D484,"#,##0")&amp;"M"))</f>
        <v/>
      </c>
      <c r="E484" s="0" t="str">
        <f aca="false">IF('Deal Tracker'!B484="","",IF(AND(F484="",G484=""),"",F484&amp;IF(OR(F484="",G484=""),"","  ·  ")&amp;G484))</f>
        <v/>
      </c>
      <c r="F484" s="0" t="str">
        <f aca="false">IF('Deal Tracker'!F484="",IF('Deal Tracker'!G484="","",'Deal Tracker'!G484),'Deal Tracker'!F484&amp;IF('Deal Tracker'!G484="","",", "&amp;'Deal Tracker'!G484))</f>
        <v/>
      </c>
      <c r="G484" s="0" t="str">
        <f aca="false">IF('Deal Tracker'!H484="","","Target: "&amp;TEXT('Deal Tracker'!H484,"mmm yyyy"))</f>
        <v/>
      </c>
    </row>
    <row r="485" customFormat="false" ht="15" hidden="false" customHeight="false" outlineLevel="0" collapsed="false">
      <c r="A485" s="0" t="str">
        <f aca="false">IF('Deal Tracker'!C485="","",COUNTIF('Deal Tracker'!$C$2:C485,'Deal Tracker'!C485))</f>
        <v/>
      </c>
      <c r="B485" s="0" t="str">
        <f aca="false">IF(A485="","",'Deal Tracker'!C485&amp;"#"&amp;A485)</f>
        <v/>
      </c>
      <c r="C485" s="0" t="str">
        <f aca="false">IF('Deal Tracker'!B485="","",'Deal Tracker'!B485)</f>
        <v/>
      </c>
      <c r="D485" s="0" t="str">
        <f aca="false">IF('Deal Tracker'!B485="","",IF('Deal Tracker'!D485="","TBD","$"&amp;TEXT('Deal Tracker'!D485,"#,##0")&amp;"M"))</f>
        <v/>
      </c>
      <c r="E485" s="0" t="str">
        <f aca="false">IF('Deal Tracker'!B485="","",IF(AND(F485="",G485=""),"",F485&amp;IF(OR(F485="",G485=""),"","  ·  ")&amp;G485))</f>
        <v/>
      </c>
      <c r="F485" s="0" t="str">
        <f aca="false">IF('Deal Tracker'!F485="",IF('Deal Tracker'!G485="","",'Deal Tracker'!G485),'Deal Tracker'!F485&amp;IF('Deal Tracker'!G485="","",", "&amp;'Deal Tracker'!G485))</f>
        <v/>
      </c>
      <c r="G485" s="0" t="str">
        <f aca="false">IF('Deal Tracker'!H485="","","Target: "&amp;TEXT('Deal Tracker'!H485,"mmm yyyy"))</f>
        <v/>
      </c>
    </row>
    <row r="486" customFormat="false" ht="15" hidden="false" customHeight="false" outlineLevel="0" collapsed="false">
      <c r="A486" s="0" t="str">
        <f aca="false">IF('Deal Tracker'!C486="","",COUNTIF('Deal Tracker'!$C$2:C486,'Deal Tracker'!C486))</f>
        <v/>
      </c>
      <c r="B486" s="0" t="str">
        <f aca="false">IF(A486="","",'Deal Tracker'!C486&amp;"#"&amp;A486)</f>
        <v/>
      </c>
      <c r="C486" s="0" t="str">
        <f aca="false">IF('Deal Tracker'!B486="","",'Deal Tracker'!B486)</f>
        <v/>
      </c>
      <c r="D486" s="0" t="str">
        <f aca="false">IF('Deal Tracker'!B486="","",IF('Deal Tracker'!D486="","TBD","$"&amp;TEXT('Deal Tracker'!D486,"#,##0")&amp;"M"))</f>
        <v/>
      </c>
      <c r="E486" s="0" t="str">
        <f aca="false">IF('Deal Tracker'!B486="","",IF(AND(F486="",G486=""),"",F486&amp;IF(OR(F486="",G486=""),"","  ·  ")&amp;G486))</f>
        <v/>
      </c>
      <c r="F486" s="0" t="str">
        <f aca="false">IF('Deal Tracker'!F486="",IF('Deal Tracker'!G486="","",'Deal Tracker'!G486),'Deal Tracker'!F486&amp;IF('Deal Tracker'!G486="","",", "&amp;'Deal Tracker'!G486))</f>
        <v/>
      </c>
      <c r="G486" s="0" t="str">
        <f aca="false">IF('Deal Tracker'!H486="","","Target: "&amp;TEXT('Deal Tracker'!H486,"mmm yyyy"))</f>
        <v/>
      </c>
    </row>
    <row r="487" customFormat="false" ht="15" hidden="false" customHeight="false" outlineLevel="0" collapsed="false">
      <c r="A487" s="0" t="str">
        <f aca="false">IF('Deal Tracker'!C487="","",COUNTIF('Deal Tracker'!$C$2:C487,'Deal Tracker'!C487))</f>
        <v/>
      </c>
      <c r="B487" s="0" t="str">
        <f aca="false">IF(A487="","",'Deal Tracker'!C487&amp;"#"&amp;A487)</f>
        <v/>
      </c>
      <c r="C487" s="0" t="str">
        <f aca="false">IF('Deal Tracker'!B487="","",'Deal Tracker'!B487)</f>
        <v/>
      </c>
      <c r="D487" s="0" t="str">
        <f aca="false">IF('Deal Tracker'!B487="","",IF('Deal Tracker'!D487="","TBD","$"&amp;TEXT('Deal Tracker'!D487,"#,##0")&amp;"M"))</f>
        <v/>
      </c>
      <c r="E487" s="0" t="str">
        <f aca="false">IF('Deal Tracker'!B487="","",IF(AND(F487="",G487=""),"",F487&amp;IF(OR(F487="",G487=""),"","  ·  ")&amp;G487))</f>
        <v/>
      </c>
      <c r="F487" s="0" t="str">
        <f aca="false">IF('Deal Tracker'!F487="",IF('Deal Tracker'!G487="","",'Deal Tracker'!G487),'Deal Tracker'!F487&amp;IF('Deal Tracker'!G487="","",", "&amp;'Deal Tracker'!G487))</f>
        <v/>
      </c>
      <c r="G487" s="0" t="str">
        <f aca="false">IF('Deal Tracker'!H487="","","Target: "&amp;TEXT('Deal Tracker'!H487,"mmm yyyy"))</f>
        <v/>
      </c>
    </row>
    <row r="488" customFormat="false" ht="15" hidden="false" customHeight="false" outlineLevel="0" collapsed="false">
      <c r="A488" s="0" t="str">
        <f aca="false">IF('Deal Tracker'!C488="","",COUNTIF('Deal Tracker'!$C$2:C488,'Deal Tracker'!C488))</f>
        <v/>
      </c>
      <c r="B488" s="0" t="str">
        <f aca="false">IF(A488="","",'Deal Tracker'!C488&amp;"#"&amp;A488)</f>
        <v/>
      </c>
      <c r="C488" s="0" t="str">
        <f aca="false">IF('Deal Tracker'!B488="","",'Deal Tracker'!B488)</f>
        <v/>
      </c>
      <c r="D488" s="0" t="str">
        <f aca="false">IF('Deal Tracker'!B488="","",IF('Deal Tracker'!D488="","TBD","$"&amp;TEXT('Deal Tracker'!D488,"#,##0")&amp;"M"))</f>
        <v/>
      </c>
      <c r="E488" s="0" t="str">
        <f aca="false">IF('Deal Tracker'!B488="","",IF(AND(F488="",G488=""),"",F488&amp;IF(OR(F488="",G488=""),"","  ·  ")&amp;G488))</f>
        <v/>
      </c>
      <c r="F488" s="0" t="str">
        <f aca="false">IF('Deal Tracker'!F488="",IF('Deal Tracker'!G488="","",'Deal Tracker'!G488),'Deal Tracker'!F488&amp;IF('Deal Tracker'!G488="","",", "&amp;'Deal Tracker'!G488))</f>
        <v/>
      </c>
      <c r="G488" s="0" t="str">
        <f aca="false">IF('Deal Tracker'!H488="","","Target: "&amp;TEXT('Deal Tracker'!H488,"mmm yyyy"))</f>
        <v/>
      </c>
    </row>
    <row r="489" customFormat="false" ht="15" hidden="false" customHeight="false" outlineLevel="0" collapsed="false">
      <c r="A489" s="0" t="str">
        <f aca="false">IF('Deal Tracker'!C489="","",COUNTIF('Deal Tracker'!$C$2:C489,'Deal Tracker'!C489))</f>
        <v/>
      </c>
      <c r="B489" s="0" t="str">
        <f aca="false">IF(A489="","",'Deal Tracker'!C489&amp;"#"&amp;A489)</f>
        <v/>
      </c>
      <c r="C489" s="0" t="str">
        <f aca="false">IF('Deal Tracker'!B489="","",'Deal Tracker'!B489)</f>
        <v/>
      </c>
      <c r="D489" s="0" t="str">
        <f aca="false">IF('Deal Tracker'!B489="","",IF('Deal Tracker'!D489="","TBD","$"&amp;TEXT('Deal Tracker'!D489,"#,##0")&amp;"M"))</f>
        <v/>
      </c>
      <c r="E489" s="0" t="str">
        <f aca="false">IF('Deal Tracker'!B489="","",IF(AND(F489="",G489=""),"",F489&amp;IF(OR(F489="",G489=""),"","  ·  ")&amp;G489))</f>
        <v/>
      </c>
      <c r="F489" s="0" t="str">
        <f aca="false">IF('Deal Tracker'!F489="",IF('Deal Tracker'!G489="","",'Deal Tracker'!G489),'Deal Tracker'!F489&amp;IF('Deal Tracker'!G489="","",", "&amp;'Deal Tracker'!G489))</f>
        <v/>
      </c>
      <c r="G489" s="0" t="str">
        <f aca="false">IF('Deal Tracker'!H489="","","Target: "&amp;TEXT('Deal Tracker'!H489,"mmm yyyy"))</f>
        <v/>
      </c>
    </row>
    <row r="490" customFormat="false" ht="15" hidden="false" customHeight="false" outlineLevel="0" collapsed="false">
      <c r="A490" s="0" t="str">
        <f aca="false">IF('Deal Tracker'!C490="","",COUNTIF('Deal Tracker'!$C$2:C490,'Deal Tracker'!C490))</f>
        <v/>
      </c>
      <c r="B490" s="0" t="str">
        <f aca="false">IF(A490="","",'Deal Tracker'!C490&amp;"#"&amp;A490)</f>
        <v/>
      </c>
      <c r="C490" s="0" t="str">
        <f aca="false">IF('Deal Tracker'!B490="","",'Deal Tracker'!B490)</f>
        <v/>
      </c>
      <c r="D490" s="0" t="str">
        <f aca="false">IF('Deal Tracker'!B490="","",IF('Deal Tracker'!D490="","TBD","$"&amp;TEXT('Deal Tracker'!D490,"#,##0")&amp;"M"))</f>
        <v/>
      </c>
      <c r="E490" s="0" t="str">
        <f aca="false">IF('Deal Tracker'!B490="","",IF(AND(F490="",G490=""),"",F490&amp;IF(OR(F490="",G490=""),"","  ·  ")&amp;G490))</f>
        <v/>
      </c>
      <c r="F490" s="0" t="str">
        <f aca="false">IF('Deal Tracker'!F490="",IF('Deal Tracker'!G490="","",'Deal Tracker'!G490),'Deal Tracker'!F490&amp;IF('Deal Tracker'!G490="","",", "&amp;'Deal Tracker'!G490))</f>
        <v/>
      </c>
      <c r="G490" s="0" t="str">
        <f aca="false">IF('Deal Tracker'!H490="","","Target: "&amp;TEXT('Deal Tracker'!H490,"mmm yyyy"))</f>
        <v/>
      </c>
    </row>
    <row r="491" customFormat="false" ht="15" hidden="false" customHeight="false" outlineLevel="0" collapsed="false">
      <c r="A491" s="0" t="str">
        <f aca="false">IF('Deal Tracker'!C491="","",COUNTIF('Deal Tracker'!$C$2:C491,'Deal Tracker'!C491))</f>
        <v/>
      </c>
      <c r="B491" s="0" t="str">
        <f aca="false">IF(A491="","",'Deal Tracker'!C491&amp;"#"&amp;A491)</f>
        <v/>
      </c>
      <c r="C491" s="0" t="str">
        <f aca="false">IF('Deal Tracker'!B491="","",'Deal Tracker'!B491)</f>
        <v/>
      </c>
      <c r="D491" s="0" t="str">
        <f aca="false">IF('Deal Tracker'!B491="","",IF('Deal Tracker'!D491="","TBD","$"&amp;TEXT('Deal Tracker'!D491,"#,##0")&amp;"M"))</f>
        <v/>
      </c>
      <c r="E491" s="0" t="str">
        <f aca="false">IF('Deal Tracker'!B491="","",IF(AND(F491="",G491=""),"",F491&amp;IF(OR(F491="",G491=""),"","  ·  ")&amp;G491))</f>
        <v/>
      </c>
      <c r="F491" s="0" t="str">
        <f aca="false">IF('Deal Tracker'!F491="",IF('Deal Tracker'!G491="","",'Deal Tracker'!G491),'Deal Tracker'!F491&amp;IF('Deal Tracker'!G491="","",", "&amp;'Deal Tracker'!G491))</f>
        <v/>
      </c>
      <c r="G491" s="0" t="str">
        <f aca="false">IF('Deal Tracker'!H491="","","Target: "&amp;TEXT('Deal Tracker'!H491,"mmm yyyy"))</f>
        <v/>
      </c>
    </row>
    <row r="492" customFormat="false" ht="15" hidden="false" customHeight="false" outlineLevel="0" collapsed="false">
      <c r="A492" s="0" t="str">
        <f aca="false">IF('Deal Tracker'!C492="","",COUNTIF('Deal Tracker'!$C$2:C492,'Deal Tracker'!C492))</f>
        <v/>
      </c>
      <c r="B492" s="0" t="str">
        <f aca="false">IF(A492="","",'Deal Tracker'!C492&amp;"#"&amp;A492)</f>
        <v/>
      </c>
      <c r="C492" s="0" t="str">
        <f aca="false">IF('Deal Tracker'!B492="","",'Deal Tracker'!B492)</f>
        <v/>
      </c>
      <c r="D492" s="0" t="str">
        <f aca="false">IF('Deal Tracker'!B492="","",IF('Deal Tracker'!D492="","TBD","$"&amp;TEXT('Deal Tracker'!D492,"#,##0")&amp;"M"))</f>
        <v/>
      </c>
      <c r="E492" s="0" t="str">
        <f aca="false">IF('Deal Tracker'!B492="","",IF(AND(F492="",G492=""),"",F492&amp;IF(OR(F492="",G492=""),"","  ·  ")&amp;G492))</f>
        <v/>
      </c>
      <c r="F492" s="0" t="str">
        <f aca="false">IF('Deal Tracker'!F492="",IF('Deal Tracker'!G492="","",'Deal Tracker'!G492),'Deal Tracker'!F492&amp;IF('Deal Tracker'!G492="","",", "&amp;'Deal Tracker'!G492))</f>
        <v/>
      </c>
      <c r="G492" s="0" t="str">
        <f aca="false">IF('Deal Tracker'!H492="","","Target: "&amp;TEXT('Deal Tracker'!H492,"mmm yyyy"))</f>
        <v/>
      </c>
    </row>
    <row r="493" customFormat="false" ht="15" hidden="false" customHeight="false" outlineLevel="0" collapsed="false">
      <c r="A493" s="0" t="str">
        <f aca="false">IF('Deal Tracker'!C493="","",COUNTIF('Deal Tracker'!$C$2:C493,'Deal Tracker'!C493))</f>
        <v/>
      </c>
      <c r="B493" s="0" t="str">
        <f aca="false">IF(A493="","",'Deal Tracker'!C493&amp;"#"&amp;A493)</f>
        <v/>
      </c>
      <c r="C493" s="0" t="str">
        <f aca="false">IF('Deal Tracker'!B493="","",'Deal Tracker'!B493)</f>
        <v/>
      </c>
      <c r="D493" s="0" t="str">
        <f aca="false">IF('Deal Tracker'!B493="","",IF('Deal Tracker'!D493="","TBD","$"&amp;TEXT('Deal Tracker'!D493,"#,##0")&amp;"M"))</f>
        <v/>
      </c>
      <c r="E493" s="0" t="str">
        <f aca="false">IF('Deal Tracker'!B493="","",IF(AND(F493="",G493=""),"",F493&amp;IF(OR(F493="",G493=""),"","  ·  ")&amp;G493))</f>
        <v/>
      </c>
      <c r="F493" s="0" t="str">
        <f aca="false">IF('Deal Tracker'!F493="",IF('Deal Tracker'!G493="","",'Deal Tracker'!G493),'Deal Tracker'!F493&amp;IF('Deal Tracker'!G493="","",", "&amp;'Deal Tracker'!G493))</f>
        <v/>
      </c>
      <c r="G493" s="0" t="str">
        <f aca="false">IF('Deal Tracker'!H493="","","Target: "&amp;TEXT('Deal Tracker'!H493,"mmm yyyy"))</f>
        <v/>
      </c>
    </row>
    <row r="494" customFormat="false" ht="15" hidden="false" customHeight="false" outlineLevel="0" collapsed="false">
      <c r="A494" s="0" t="str">
        <f aca="false">IF('Deal Tracker'!C494="","",COUNTIF('Deal Tracker'!$C$2:C494,'Deal Tracker'!C494))</f>
        <v/>
      </c>
      <c r="B494" s="0" t="str">
        <f aca="false">IF(A494="","",'Deal Tracker'!C494&amp;"#"&amp;A494)</f>
        <v/>
      </c>
      <c r="C494" s="0" t="str">
        <f aca="false">IF('Deal Tracker'!B494="","",'Deal Tracker'!B494)</f>
        <v/>
      </c>
      <c r="D494" s="0" t="str">
        <f aca="false">IF('Deal Tracker'!B494="","",IF('Deal Tracker'!D494="","TBD","$"&amp;TEXT('Deal Tracker'!D494,"#,##0")&amp;"M"))</f>
        <v/>
      </c>
      <c r="E494" s="0" t="str">
        <f aca="false">IF('Deal Tracker'!B494="","",IF(AND(F494="",G494=""),"",F494&amp;IF(OR(F494="",G494=""),"","  ·  ")&amp;G494))</f>
        <v/>
      </c>
      <c r="F494" s="0" t="str">
        <f aca="false">IF('Deal Tracker'!F494="",IF('Deal Tracker'!G494="","",'Deal Tracker'!G494),'Deal Tracker'!F494&amp;IF('Deal Tracker'!G494="","",", "&amp;'Deal Tracker'!G494))</f>
        <v/>
      </c>
      <c r="G494" s="0" t="str">
        <f aca="false">IF('Deal Tracker'!H494="","","Target: "&amp;TEXT('Deal Tracker'!H494,"mmm yyyy"))</f>
        <v/>
      </c>
    </row>
    <row r="495" customFormat="false" ht="15" hidden="false" customHeight="false" outlineLevel="0" collapsed="false">
      <c r="A495" s="0" t="str">
        <f aca="false">IF('Deal Tracker'!C495="","",COUNTIF('Deal Tracker'!$C$2:C495,'Deal Tracker'!C495))</f>
        <v/>
      </c>
      <c r="B495" s="0" t="str">
        <f aca="false">IF(A495="","",'Deal Tracker'!C495&amp;"#"&amp;A495)</f>
        <v/>
      </c>
      <c r="C495" s="0" t="str">
        <f aca="false">IF('Deal Tracker'!B495="","",'Deal Tracker'!B495)</f>
        <v/>
      </c>
      <c r="D495" s="0" t="str">
        <f aca="false">IF('Deal Tracker'!B495="","",IF('Deal Tracker'!D495="","TBD","$"&amp;TEXT('Deal Tracker'!D495,"#,##0")&amp;"M"))</f>
        <v/>
      </c>
      <c r="E495" s="0" t="str">
        <f aca="false">IF('Deal Tracker'!B495="","",IF(AND(F495="",G495=""),"",F495&amp;IF(OR(F495="",G495=""),"","  ·  ")&amp;G495))</f>
        <v/>
      </c>
      <c r="F495" s="0" t="str">
        <f aca="false">IF('Deal Tracker'!F495="",IF('Deal Tracker'!G495="","",'Deal Tracker'!G495),'Deal Tracker'!F495&amp;IF('Deal Tracker'!G495="","",", "&amp;'Deal Tracker'!G495))</f>
        <v/>
      </c>
      <c r="G495" s="0" t="str">
        <f aca="false">IF('Deal Tracker'!H495="","","Target: "&amp;TEXT('Deal Tracker'!H495,"mmm yyyy"))</f>
        <v/>
      </c>
    </row>
    <row r="496" customFormat="false" ht="15" hidden="false" customHeight="false" outlineLevel="0" collapsed="false">
      <c r="A496" s="0" t="str">
        <f aca="false">IF('Deal Tracker'!C496="","",COUNTIF('Deal Tracker'!$C$2:C496,'Deal Tracker'!C496))</f>
        <v/>
      </c>
      <c r="B496" s="0" t="str">
        <f aca="false">IF(A496="","",'Deal Tracker'!C496&amp;"#"&amp;A496)</f>
        <v/>
      </c>
      <c r="C496" s="0" t="str">
        <f aca="false">IF('Deal Tracker'!B496="","",'Deal Tracker'!B496)</f>
        <v/>
      </c>
      <c r="D496" s="0" t="str">
        <f aca="false">IF('Deal Tracker'!B496="","",IF('Deal Tracker'!D496="","TBD","$"&amp;TEXT('Deal Tracker'!D496,"#,##0")&amp;"M"))</f>
        <v/>
      </c>
      <c r="E496" s="0" t="str">
        <f aca="false">IF('Deal Tracker'!B496="","",IF(AND(F496="",G496=""),"",F496&amp;IF(OR(F496="",G496=""),"","  ·  ")&amp;G496))</f>
        <v/>
      </c>
      <c r="F496" s="0" t="str">
        <f aca="false">IF('Deal Tracker'!F496="",IF('Deal Tracker'!G496="","",'Deal Tracker'!G496),'Deal Tracker'!F496&amp;IF('Deal Tracker'!G496="","",", "&amp;'Deal Tracker'!G496))</f>
        <v/>
      </c>
      <c r="G496" s="0" t="str">
        <f aca="false">IF('Deal Tracker'!H496="","","Target: "&amp;TEXT('Deal Tracker'!H496,"mmm yyyy"))</f>
        <v/>
      </c>
    </row>
    <row r="497" customFormat="false" ht="15" hidden="false" customHeight="false" outlineLevel="0" collapsed="false">
      <c r="A497" s="0" t="str">
        <f aca="false">IF('Deal Tracker'!C497="","",COUNTIF('Deal Tracker'!$C$2:C497,'Deal Tracker'!C497))</f>
        <v/>
      </c>
      <c r="B497" s="0" t="str">
        <f aca="false">IF(A497="","",'Deal Tracker'!C497&amp;"#"&amp;A497)</f>
        <v/>
      </c>
      <c r="C497" s="0" t="str">
        <f aca="false">IF('Deal Tracker'!B497="","",'Deal Tracker'!B497)</f>
        <v/>
      </c>
      <c r="D497" s="0" t="str">
        <f aca="false">IF('Deal Tracker'!B497="","",IF('Deal Tracker'!D497="","TBD","$"&amp;TEXT('Deal Tracker'!D497,"#,##0")&amp;"M"))</f>
        <v/>
      </c>
      <c r="E497" s="0" t="str">
        <f aca="false">IF('Deal Tracker'!B497="","",IF(AND(F497="",G497=""),"",F497&amp;IF(OR(F497="",G497=""),"","  ·  ")&amp;G497))</f>
        <v/>
      </c>
      <c r="F497" s="0" t="str">
        <f aca="false">IF('Deal Tracker'!F497="",IF('Deal Tracker'!G497="","",'Deal Tracker'!G497),'Deal Tracker'!F497&amp;IF('Deal Tracker'!G497="","",", "&amp;'Deal Tracker'!G497))</f>
        <v/>
      </c>
      <c r="G497" s="0" t="str">
        <f aca="false">IF('Deal Tracker'!H497="","","Target: "&amp;TEXT('Deal Tracker'!H497,"mmm yyyy"))</f>
        <v/>
      </c>
    </row>
    <row r="498" customFormat="false" ht="15" hidden="false" customHeight="false" outlineLevel="0" collapsed="false">
      <c r="A498" s="0" t="str">
        <f aca="false">IF('Deal Tracker'!C498="","",COUNTIF('Deal Tracker'!$C$2:C498,'Deal Tracker'!C498))</f>
        <v/>
      </c>
      <c r="B498" s="0" t="str">
        <f aca="false">IF(A498="","",'Deal Tracker'!C498&amp;"#"&amp;A498)</f>
        <v/>
      </c>
      <c r="C498" s="0" t="str">
        <f aca="false">IF('Deal Tracker'!B498="","",'Deal Tracker'!B498)</f>
        <v/>
      </c>
      <c r="D498" s="0" t="str">
        <f aca="false">IF('Deal Tracker'!B498="","",IF('Deal Tracker'!D498="","TBD","$"&amp;TEXT('Deal Tracker'!D498,"#,##0")&amp;"M"))</f>
        <v/>
      </c>
      <c r="E498" s="0" t="str">
        <f aca="false">IF('Deal Tracker'!B498="","",IF(AND(F498="",G498=""),"",F498&amp;IF(OR(F498="",G498=""),"","  ·  ")&amp;G498))</f>
        <v/>
      </c>
      <c r="F498" s="0" t="str">
        <f aca="false">IF('Deal Tracker'!F498="",IF('Deal Tracker'!G498="","",'Deal Tracker'!G498),'Deal Tracker'!F498&amp;IF('Deal Tracker'!G498="","",", "&amp;'Deal Tracker'!G498))</f>
        <v/>
      </c>
      <c r="G498" s="0" t="str">
        <f aca="false">IF('Deal Tracker'!H498="","","Target: "&amp;TEXT('Deal Tracker'!H498,"mmm yyyy"))</f>
        <v/>
      </c>
    </row>
    <row r="499" customFormat="false" ht="15" hidden="false" customHeight="false" outlineLevel="0" collapsed="false">
      <c r="A499" s="0" t="str">
        <f aca="false">IF('Deal Tracker'!C499="","",COUNTIF('Deal Tracker'!$C$2:C499,'Deal Tracker'!C499))</f>
        <v/>
      </c>
      <c r="B499" s="0" t="str">
        <f aca="false">IF(A499="","",'Deal Tracker'!C499&amp;"#"&amp;A499)</f>
        <v/>
      </c>
      <c r="C499" s="0" t="str">
        <f aca="false">IF('Deal Tracker'!B499="","",'Deal Tracker'!B499)</f>
        <v/>
      </c>
      <c r="D499" s="0" t="str">
        <f aca="false">IF('Deal Tracker'!B499="","",IF('Deal Tracker'!D499="","TBD","$"&amp;TEXT('Deal Tracker'!D499,"#,##0")&amp;"M"))</f>
        <v/>
      </c>
      <c r="E499" s="0" t="str">
        <f aca="false">IF('Deal Tracker'!B499="","",IF(AND(F499="",G499=""),"",F499&amp;IF(OR(F499="",G499=""),"","  ·  ")&amp;G499))</f>
        <v/>
      </c>
      <c r="F499" s="0" t="str">
        <f aca="false">IF('Deal Tracker'!F499="",IF('Deal Tracker'!G499="","",'Deal Tracker'!G499),'Deal Tracker'!F499&amp;IF('Deal Tracker'!G499="","",", "&amp;'Deal Tracker'!G499))</f>
        <v/>
      </c>
      <c r="G499" s="0" t="str">
        <f aca="false">IF('Deal Tracker'!H499="","","Target: "&amp;TEXT('Deal Tracker'!H499,"mmm yyyy"))</f>
        <v/>
      </c>
    </row>
    <row r="500" customFormat="false" ht="15" hidden="false" customHeight="false" outlineLevel="0" collapsed="false">
      <c r="A500" s="0" t="str">
        <f aca="false">IF('Deal Tracker'!C500="","",COUNTIF('Deal Tracker'!$C$2:C500,'Deal Tracker'!C500))</f>
        <v/>
      </c>
      <c r="B500" s="0" t="str">
        <f aca="false">IF(A500="","",'Deal Tracker'!C500&amp;"#"&amp;A500)</f>
        <v/>
      </c>
      <c r="C500" s="0" t="str">
        <f aca="false">IF('Deal Tracker'!B500="","",'Deal Tracker'!B500)</f>
        <v/>
      </c>
      <c r="D500" s="0" t="str">
        <f aca="false">IF('Deal Tracker'!B500="","",IF('Deal Tracker'!D500="","TBD","$"&amp;TEXT('Deal Tracker'!D500,"#,##0")&amp;"M"))</f>
        <v/>
      </c>
      <c r="E500" s="0" t="str">
        <f aca="false">IF('Deal Tracker'!B500="","",IF(AND(F500="",G500=""),"",F500&amp;IF(OR(F500="",G500=""),"","  ·  ")&amp;G500))</f>
        <v/>
      </c>
      <c r="F500" s="0" t="str">
        <f aca="false">IF('Deal Tracker'!F500="",IF('Deal Tracker'!G500="","",'Deal Tracker'!G500),'Deal Tracker'!F500&amp;IF('Deal Tracker'!G500="","",", "&amp;'Deal Tracker'!G500))</f>
        <v/>
      </c>
      <c r="G500" s="0" t="str">
        <f aca="false">IF('Deal Tracker'!H500="","","Target: "&amp;TEXT('Deal Tracker'!H500,"mmm yyyy"))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2026-07-29T14:51:39Z</dcterms:created>
  <dc:creator>openpyxl</dc:creator>
  <dc:description/>
  <dc:language>en-US</dc:language>
  <cp:lastModifiedBy/>
  <dcterms:modified xsi:type="dcterms:W3CDTF">2026-07-29T14:51:39Z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