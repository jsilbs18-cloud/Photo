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20 Ministers &amp; Trade" sheetId="1" state="visible" r:id="rId1"/>
  </sheets>
  <definedNames>
    <definedName name="_xlnm._FilterDatabase" localSheetId="0" hidden="1">'G20 Ministers &amp; Trade'!$A$1:$P$20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;($#,##0.0)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b val="1"/>
    </font>
    <font>
      <i val="1"/>
      <color rgb="00595959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2F5FA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843C0C"/>
      </font>
      <fill>
        <patternFill patternType="solid">
          <fgColor rgb="00F8CBAD"/>
          <bgColor rgb="00F8CBAD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9" customWidth="1" min="3" max="3"/>
    <col width="17" customWidth="1" min="4" max="4"/>
    <col width="15" customWidth="1" min="5" max="5"/>
    <col width="15" customWidth="1" min="6" max="6"/>
    <col width="17" customWidth="1" min="7" max="7"/>
    <col width="10" customWidth="1" min="8" max="8"/>
    <col width="22" customWidth="1" min="9" max="9"/>
    <col width="32" customWidth="1" min="10" max="10"/>
    <col width="30" customWidth="1" min="11" max="11"/>
    <col width="22" customWidth="1" min="12" max="12"/>
    <col width="32" customWidth="1" min="13" max="13"/>
    <col width="30" customWidth="1" min="14" max="14"/>
    <col width="14" customWidth="1" min="15" max="15"/>
    <col width="66" customWidth="1" min="16" max="16"/>
  </cols>
  <sheetData>
    <row r="1" ht="42" customHeight="1">
      <c r="A1" s="1" t="inlineStr">
        <is>
          <t>Country</t>
        </is>
      </c>
      <c r="B1" s="1" t="inlineStr">
        <is>
          <t>GDP
(USD bn, nominal, 2025)</t>
        </is>
      </c>
      <c r="C1" s="1" t="inlineStr">
        <is>
          <t>GDP ref.
year</t>
        </is>
      </c>
      <c r="D1" s="1" t="inlineStr">
        <is>
          <t>Overall trade balance
(USD bn; goods basis*)</t>
        </is>
      </c>
      <c r="E1" s="1" t="inlineStr">
        <is>
          <t>U.S. goods exports
to country (USD bn, 2025)</t>
        </is>
      </c>
      <c r="F1" s="1" t="inlineStr">
        <is>
          <t>U.S. goods imports
from country (USD bn, 2025)</t>
        </is>
      </c>
      <c r="G1" s="1" t="inlineStr">
        <is>
          <t>U.S. bilateral balance
(USD bn; − = U.S. deficit)</t>
        </is>
      </c>
      <c r="H1" s="1" t="inlineStr">
        <is>
          <t>Trade data
ref. year</t>
        </is>
      </c>
      <c r="I1" s="1" t="inlineStr">
        <is>
          <t>Digital / technology
minister</t>
        </is>
      </c>
      <c r="J1" s="1" t="inlineStr">
        <is>
          <t>Digital minister title</t>
        </is>
      </c>
      <c r="K1" s="1" t="inlineStr">
        <is>
          <t>Digital minister ministry</t>
        </is>
      </c>
      <c r="L1" s="1" t="inlineStr">
        <is>
          <t>Trade / commerce
minister</t>
        </is>
      </c>
      <c r="M1" s="1" t="inlineStr">
        <is>
          <t>Trade minister title</t>
        </is>
      </c>
      <c r="N1" s="1" t="inlineStr">
        <is>
          <t>Trade minister ministry</t>
        </is>
      </c>
      <c r="O1" s="1" t="inlineStr">
        <is>
          <t>Confidence
flag</t>
        </is>
      </c>
      <c r="P1" s="1" t="inlineStr">
        <is>
          <t>Source notes</t>
        </is>
      </c>
    </row>
    <row r="2" ht="58" customHeight="1">
      <c r="A2" s="2" t="inlineStr">
        <is>
          <t>Argentina</t>
        </is>
      </c>
      <c r="B2" s="3" t="n">
        <v>681.5</v>
      </c>
      <c r="C2" s="4" t="inlineStr">
        <is>
          <t>2025</t>
        </is>
      </c>
      <c r="D2" s="3" t="n">
        <v>11.3</v>
      </c>
      <c r="E2" s="3" t="n">
        <v>9.9</v>
      </c>
      <c r="F2" s="3" t="n">
        <v>8.300000000000001</v>
      </c>
      <c r="G2" s="3" t="n">
        <v>1.6</v>
      </c>
      <c r="H2" s="4" t="inlineStr">
        <is>
          <t>2025</t>
        </is>
      </c>
      <c r="I2" s="5" t="inlineStr">
        <is>
          <t>Darío Leandro Genua</t>
        </is>
      </c>
      <c r="J2" s="6" t="inlineStr">
        <is>
          <t>Secretary of Innovation, Science and Technology</t>
        </is>
      </c>
      <c r="K2" s="6" t="inlineStr">
        <is>
          <t>Jefatura de Gabinete de Ministros (Chief of Cabinet's Office)</t>
        </is>
      </c>
      <c r="L2" s="5" t="inlineStr">
        <is>
          <t>Pablo Quirno</t>
        </is>
      </c>
      <c r="M2" s="6" t="inlineStr">
        <is>
          <t>Minister of Foreign Affairs, International Trade and Worship (Canciller)</t>
        </is>
      </c>
      <c r="N2" s="6" t="inlineStr">
        <is>
          <t>Ministerio de Relaciones Exteriores, Comercio Internacional y Culto</t>
        </is>
      </c>
      <c r="O2" s="7" t="inlineStr">
        <is>
          <t>Vacant / acting</t>
        </is>
      </c>
      <c r="P2" s="6" t="inlineStr">
        <is>
          <t>Trade/commerce portfolio also held by: Fernando Brun (Secretary of International Economic Relations). Balance: Independently re-verified via fresh searches. Full-year 2025 merchandise (goods) trade SURPLUS of US$11.286 billion (positive). Exports US$87.077bn (+9.3% YoY); imports US$75.791bn (+24.7% YoY). Surplus down 40.3% vs 2024. Figure confirmed by Infobae (20 Jan 2026), Perfil, cholilaonline citing INDEC, and La Nacion (which reported the Dec-2025 monthly surplus of US$1.892bn). INDEC PDF returned HTTP</t>
        </is>
      </c>
    </row>
    <row r="3" ht="58" customHeight="1">
      <c r="A3" s="8" t="inlineStr">
        <is>
          <t>Australia</t>
        </is>
      </c>
      <c r="B3" s="9" t="n">
        <v>1840</v>
      </c>
      <c r="C3" s="10" t="inlineStr">
        <is>
          <t>2025</t>
        </is>
      </c>
      <c r="D3" s="9" t="n">
        <v>4.5</v>
      </c>
      <c r="E3" s="9" t="n">
        <v>33.7</v>
      </c>
      <c r="F3" s="9" t="n">
        <v>29.1</v>
      </c>
      <c r="G3" s="3" t="n">
        <v>4.6</v>
      </c>
      <c r="H3" s="10" t="inlineStr">
        <is>
          <t>2025</t>
        </is>
      </c>
      <c r="I3" s="11" t="inlineStr">
        <is>
          <t>Andrew Charlton</t>
        </is>
      </c>
      <c r="J3" s="12" t="inlineStr">
        <is>
          <t>Cabinet Secretary; Assistant Minister for Science, Technology and the Digital Economy</t>
        </is>
      </c>
      <c r="K3" s="12" t="inlineStr">
        <is>
          <t>Department of Industry, Science and Resources (also Department of the Prime Minister and Cabinet as Cabinet Secretary)</t>
        </is>
      </c>
      <c r="L3" s="11" t="inlineStr">
        <is>
          <t>Don Farrell</t>
        </is>
      </c>
      <c r="M3" s="12" t="inlineStr">
        <is>
          <t>Minister for Trade and Tourism; Special Minister of State</t>
        </is>
      </c>
      <c r="N3" s="12" t="inlineStr">
        <is>
          <t>Department of Foreign Affairs and Trade</t>
        </is>
      </c>
      <c r="O3" s="13" t="inlineStr">
        <is>
          <t>Needs check</t>
        </is>
      </c>
      <c r="P3" s="12" t="inlineStr">
        <is>
          <t>Digital/technology portfolio also held by: Andrew Charlton (Assistant Minister for Science, Technology and the Digital Economy (also Cabinet Secretary)). Balance: INDEPENDENTLY RE-CONFIRMED via a second live ABS search snippet: CY2025 balance on goods and services was a surplus of A$6.9b; total exports/credits A$665.2b (+3.1%), total imports/debits A$658.3b (+6.9%), Balance of Payments basis. The A$6.9b headline is therefore VERIFIED. The value_usd_billions of ~4.45 is a CONVERSION (A$6.9b x ~0.645 average 2025 AUD/USD) and remains approximate, so confidenc</t>
        </is>
      </c>
    </row>
    <row r="4" ht="58" customHeight="1">
      <c r="A4" s="2" t="inlineStr">
        <is>
          <t>Brazil</t>
        </is>
      </c>
      <c r="B4" s="3" t="n">
        <v>2280</v>
      </c>
      <c r="C4" s="4" t="inlineStr">
        <is>
          <t>2025</t>
        </is>
      </c>
      <c r="D4" s="3" t="n">
        <v>68.3</v>
      </c>
      <c r="E4" s="3" t="n">
        <v>54.4</v>
      </c>
      <c r="F4" s="3" t="n">
        <v>39.9</v>
      </c>
      <c r="G4" s="3" t="n">
        <v>14.5</v>
      </c>
      <c r="H4" s="4" t="inlineStr">
        <is>
          <t>2025</t>
        </is>
      </c>
      <c r="I4" s="5" t="inlineStr">
        <is>
          <t>Frederico de Siqueira Filho</t>
        </is>
      </c>
      <c r="J4" s="6" t="inlineStr">
        <is>
          <t>Minister of Communications</t>
        </is>
      </c>
      <c r="K4" s="6" t="inlineStr">
        <is>
          <t>Ministry of Communications (Ministério das Comunicações)</t>
        </is>
      </c>
      <c r="L4" s="5" t="inlineStr">
        <is>
          <t>Márcio Fernando Elias Rosa</t>
        </is>
      </c>
      <c r="M4" s="6" t="inlineStr">
        <is>
          <t>Minister of Development, Industry, Trade and Services</t>
        </is>
      </c>
      <c r="N4" s="6" t="inlineStr">
        <is>
          <t>Ministry of Development, Industry, Trade and Services (Ministério do Desenvolvimento, Indústria, Comércio e Serviços, MDIC)</t>
        </is>
      </c>
      <c r="O4" s="13" t="inlineStr">
        <is>
          <t>Needs check</t>
        </is>
      </c>
      <c r="P4" s="6" t="inlineStr">
        <is>
          <t>Digital/technology portfolio also held by: Luciana Santos (Minister of Science, Technology and Innovation).Balance: INDEPENDENTLY CONFIRMED. Brazil's full-year 2025 merchandise (goods) trade balance was a SURPLUS of +US$68.3 billion (customs/merchandise basis), per MDIC/SECEX official data. Multiple 2026-dated Brazilian sources corroborate the US$68.3bn figure, including LegisMap and Times Brasil/CNBC, and SECEX's own 2026 outlook statements reference '2025, when the balance closed at +US$68.3 billion.' The 202</t>
        </is>
      </c>
    </row>
    <row r="5" ht="58" customHeight="1">
      <c r="A5" s="8" t="inlineStr">
        <is>
          <t>Canada</t>
        </is>
      </c>
      <c r="B5" s="9" t="n">
        <v>2284</v>
      </c>
      <c r="C5" s="10" t="inlineStr">
        <is>
          <t>2025</t>
        </is>
      </c>
      <c r="D5" s="9" t="n">
        <v>-22.4</v>
      </c>
      <c r="E5" s="9" t="n">
        <v>336.5</v>
      </c>
      <c r="F5" s="9" t="n">
        <v>383</v>
      </c>
      <c r="G5" s="3" t="n">
        <v>-46.5</v>
      </c>
      <c r="H5" s="10" t="inlineStr">
        <is>
          <t>2025</t>
        </is>
      </c>
      <c r="I5" s="11" t="inlineStr">
        <is>
          <t>Evan Solomon</t>
        </is>
      </c>
      <c r="J5" s="12" t="inlineStr">
        <is>
          <t>Minister of Artificial Intelligence and Digital Innovation</t>
        </is>
      </c>
      <c r="K5" s="12" t="inlineStr">
        <is>
          <t>Innovation, Science and Economic Development Canada (ISED)</t>
        </is>
      </c>
      <c r="L5" s="11" t="inlineStr">
        <is>
          <t>Maninder Sidhu</t>
        </is>
      </c>
      <c r="M5" s="12" t="inlineStr">
        <is>
          <t>Minister of International Trade</t>
        </is>
      </c>
      <c r="N5" s="12" t="inlineStr">
        <is>
          <t>Global Affairs Canada</t>
        </is>
      </c>
      <c r="O5" s="14" t="inlineStr">
        <is>
          <t>Verified</t>
        </is>
      </c>
      <c r="P5" s="12" t="inlineStr">
        <is>
          <t>Trade/commerce portfolio also held by: Dominic LeBlanc (President of the King's Privy Council for Canada and Minister responsible for Canada-U.S. Trade, Intergovernmental Affairs, Internal Trade and One Canadian Economy). Balance: Independently confirmed: Statistics Canada reports Canada's full-year 2025 merchandise (goods) trade deficit with the world at CAD 31.3 billion — the largest since 2020 (excluding the pandemic), a third consecutive annual deficit. Secondary coverage (Canadian Mortgage Trends: 'widest on record excluding pandemic'; Statista) corroborates. The USD -22.4B figure is a derived conversion at the ~0.7158</t>
        </is>
      </c>
    </row>
    <row r="6" ht="58" customHeight="1">
      <c r="A6" s="2" t="inlineStr">
        <is>
          <t>China</t>
        </is>
      </c>
      <c r="B6" s="3" t="n">
        <v>19399</v>
      </c>
      <c r="C6" s="4" t="inlineStr">
        <is>
          <t>2025</t>
        </is>
      </c>
      <c r="D6" s="3" t="n">
        <v>1190</v>
      </c>
      <c r="E6" s="3" t="n">
        <v>106.3</v>
      </c>
      <c r="F6" s="3" t="n">
        <v>308.4</v>
      </c>
      <c r="G6" s="3" t="n">
        <v>-202.1</v>
      </c>
      <c r="H6" s="4" t="inlineStr">
        <is>
          <t>2025</t>
        </is>
      </c>
      <c r="I6" s="5" t="inlineStr">
        <is>
          <t>Li Lecheng</t>
        </is>
      </c>
      <c r="J6" s="6" t="inlineStr">
        <is>
          <t>Minister of Industry and Information Technology</t>
        </is>
      </c>
      <c r="K6" s="6" t="inlineStr">
        <is>
          <t>Ministry of Industry and Information Technology (MIIT)</t>
        </is>
      </c>
      <c r="L6" s="5" t="inlineStr">
        <is>
          <t>Wang Wentao</t>
        </is>
      </c>
      <c r="M6" s="6" t="inlineStr">
        <is>
          <t>Minister of Commerce</t>
        </is>
      </c>
      <c r="N6" s="6" t="inlineStr">
        <is>
          <t>Ministry of Commerce (MOFCOM)</t>
        </is>
      </c>
      <c r="O6" s="14" t="inlineStr">
        <is>
          <t>Verified</t>
        </is>
      </c>
      <c r="P6" s="6" t="inlineStr">
        <is>
          <t>Trade/commerce portfolio also held by: Li Chenggang (China International Trade Representative (full ministerial rank) and Vice Minister of Commerce). Balance: Independently re-confirmed against multiple current sources. China's 2025 full-year merchandise (goods) trade SURPLUS was a record ~US$1.19 trillion (positive = surplus), up ~20% from 2024. Derived from exports of US$3.77 trillion (+5.5%) minus imports of US$2.58 trillion (flat): 3.77T - 2.58T = ~1.19T. Widely rounded to 'almost $1.2 trillion' in press (NPR, CNN, Euronews, ABC). Goods-only customs</t>
        </is>
      </c>
    </row>
    <row r="7" ht="58" customHeight="1">
      <c r="A7" s="8" t="inlineStr">
        <is>
          <t>France</t>
        </is>
      </c>
      <c r="B7" s="9" t="n">
        <v>3362</v>
      </c>
      <c r="C7" s="10" t="inlineStr">
        <is>
          <t>2025</t>
        </is>
      </c>
      <c r="D7" s="9" t="n">
        <v>-76.09999999999999</v>
      </c>
      <c r="E7" s="9" t="n">
        <v>44.4</v>
      </c>
      <c r="F7" s="9" t="n">
        <v>61.1</v>
      </c>
      <c r="G7" s="3" t="n">
        <v>-16.7</v>
      </c>
      <c r="H7" s="10" t="inlineStr">
        <is>
          <t>2024</t>
        </is>
      </c>
      <c r="I7" s="11" t="inlineStr">
        <is>
          <t>Anne Le Hénanff</t>
        </is>
      </c>
      <c r="J7" s="12" t="inlineStr">
        <is>
          <t>Minister Delegate for Artificial Intelligence and Digital Affairs</t>
        </is>
      </c>
      <c r="K7" s="12" t="inlineStr">
        <is>
          <t>Ministry for the Economy, Finance and Industrial, Energy and Digital Sovereignty (attached to Minister Roland Lescure)</t>
        </is>
      </c>
      <c r="L7" s="11" t="inlineStr">
        <is>
          <t>Nicolas Forissier</t>
        </is>
      </c>
      <c r="M7" s="12" t="inlineStr">
        <is>
          <t>Minister Delegate for Foreign Trade and Attractiveness</t>
        </is>
      </c>
      <c r="N7" s="12" t="inlineStr">
        <is>
          <t>Ministry for Europe and Foreign Affairs (Minister Delegate attached to the Minister for Europe and Foreign Affairs)</t>
        </is>
      </c>
      <c r="O7" s="13" t="inlineStr">
        <is>
          <t>Needs check</t>
        </is>
      </c>
      <c r="P7" s="12" t="inlineStr">
        <is>
          <t xml:space="preserve">Balance: CONFIRMED. Official headline is a GOODS deficit of -EUR 69.2 billion for full-year 2025 (FAB/FAB customs basis), an improvement of ~EUR 10bn vs 2024. Exports +2.5% to EUR 614.7bn (led by aeronautics); imports +0.7% to EUR 703.6bn amid lower energy prices. The -USD 76.1bn shown is an approximate conversion of -EUR 69.2bn at ~1.10 EUR/USD (2025 avg); the authoritative figure is in euros. Goods-only </t>
        </is>
      </c>
    </row>
    <row r="8" ht="58" customHeight="1">
      <c r="A8" s="2" t="inlineStr">
        <is>
          <t>Germany</t>
        </is>
      </c>
      <c r="B8" s="3" t="n">
        <v>5014</v>
      </c>
      <c r="C8" s="4" t="inlineStr">
        <is>
          <t>2025</t>
        </is>
      </c>
      <c r="D8" s="3" t="n">
        <v>226</v>
      </c>
      <c r="E8" s="3" t="n">
        <v>82.7</v>
      </c>
      <c r="F8" s="3" t="n">
        <v>159</v>
      </c>
      <c r="G8" s="3" t="n">
        <v>-76.3</v>
      </c>
      <c r="H8" s="4" t="inlineStr">
        <is>
          <t>2025</t>
        </is>
      </c>
      <c r="I8" s="5" t="inlineStr">
        <is>
          <t>Karsten Wildberger</t>
        </is>
      </c>
      <c r="J8" s="6" t="inlineStr">
        <is>
          <t>Federal Minister for Digital Transformation and Government Modernisation</t>
        </is>
      </c>
      <c r="K8" s="6" t="inlineStr">
        <is>
          <t>Federal Ministry for Digital Transformation and Government Modernisation (BMDS)</t>
        </is>
      </c>
      <c r="L8" s="5" t="inlineStr">
        <is>
          <t>Katherina Reiche</t>
        </is>
      </c>
      <c r="M8" s="6" t="inlineStr">
        <is>
          <t>Federal Minister for Economic Affairs and Energy</t>
        </is>
      </c>
      <c r="N8" s="6" t="inlineStr">
        <is>
          <t>Federal Ministry for Economic Affairs and Energy (BMWE)</t>
        </is>
      </c>
      <c r="O8" s="14" t="inlineStr">
        <is>
          <t>Verified</t>
        </is>
      </c>
      <c r="P8" s="6" t="inlineStr">
        <is>
          <t xml:space="preserve">Trade/commerce portfolio also held by: Maroš Šefčovič (European Commissioner for Trade and Economic Security). Balance: Independently confirmed via Destatis. Germany's full-year 2025 merchandise (goods) foreign-trade balance was an export SURPLUS of EUR 200.4 billion (exports EUR 1,562.9bn; imports EUR 1,362.5bn), published 6 Feb 2026. Positive = surplus. Exports +0.9%, imports +4.3% y/y; surplus fell from EUR 242.9bn in 2024. Destatis publishes only EUR; the ~226bn USD figure is an approximate conversion at ~1.13 </t>
        </is>
      </c>
    </row>
    <row r="9" ht="58" customHeight="1">
      <c r="A9" s="8" t="inlineStr">
        <is>
          <t>India</t>
        </is>
      </c>
      <c r="B9" s="9" t="n">
        <v>4125</v>
      </c>
      <c r="C9" s="10" t="inlineStr">
        <is>
          <t>2025</t>
        </is>
      </c>
      <c r="D9" s="9" t="n">
        <v>-333.2</v>
      </c>
      <c r="E9" s="9" t="n">
        <v>45.6</v>
      </c>
      <c r="F9" s="9" t="n">
        <v>103.8</v>
      </c>
      <c r="G9" s="3" t="n">
        <v>-58.2</v>
      </c>
      <c r="H9" s="10" t="inlineStr">
        <is>
          <t>2025</t>
        </is>
      </c>
      <c r="I9" s="11" t="inlineStr">
        <is>
          <t>Ashwini Vaishnaw</t>
        </is>
      </c>
      <c r="J9" s="12" t="inlineStr">
        <is>
          <t>Union Minister of Electronics and Information Technology (concurrently Minister of Railways and Minister of Information &amp; Broadcasting)</t>
        </is>
      </c>
      <c r="K9" s="12" t="inlineStr">
        <is>
          <t>Ministry of Electronics and Information Technology (MeitY)</t>
        </is>
      </c>
      <c r="L9" s="11" t="inlineStr">
        <is>
          <t>Piyush Goyal</t>
        </is>
      </c>
      <c r="M9" s="12" t="inlineStr">
        <is>
          <t>Union Minister of Commerce and Industry</t>
        </is>
      </c>
      <c r="N9" s="12" t="inlineStr">
        <is>
          <t>Ministry of Commerce and Industry</t>
        </is>
      </c>
      <c r="O9" s="14" t="inlineStr">
        <is>
          <t>Verified</t>
        </is>
      </c>
      <c r="P9" s="12" t="inlineStr">
        <is>
          <t>Digital/technology portfolio also held by: Jitin Prasada (Union Minister of State for Electronics and Information Technology (also Minister of State for Commerce and Industry)). Trade/commerce portfolio also held by: Rajesh Agrawal (Commerce Secretary (Secretary, Department of Commerce) and India's Chief Negotiator for the India-US Bilateral Trade Agreement). Balance: Independently confirmed via live search of PIB (PRID 2252272) and DD News on 2026-07-16. India's fiscal year runs April-March; latest full year is FY 2025-26. Merchandise exports US$441.78B, merchandise imports US$774.98B, yielding a goods-only trade deficit of US$333.19B (negative = deficit), up from US$283.50B in FY 2024-25. For reference the OVERALL (goods+services) deficit was ~US$119.30B (tot</t>
        </is>
      </c>
    </row>
    <row r="10" ht="58" customHeight="1">
      <c r="A10" s="2" t="inlineStr">
        <is>
          <t>Indonesia</t>
        </is>
      </c>
      <c r="B10" s="3" t="n">
        <v>1443</v>
      </c>
      <c r="C10" s="4" t="inlineStr">
        <is>
          <t>2025</t>
        </is>
      </c>
      <c r="D10" s="3" t="n">
        <v>41</v>
      </c>
      <c r="E10" s="3" t="n">
        <v>11</v>
      </c>
      <c r="F10" s="3" t="n">
        <v>34.7</v>
      </c>
      <c r="G10" s="3" t="n">
        <v>-23.7</v>
      </c>
      <c r="H10" s="4" t="inlineStr">
        <is>
          <t>2025</t>
        </is>
      </c>
      <c r="I10" s="5" t="inlineStr">
        <is>
          <t>Meutya Viada Hafid</t>
        </is>
      </c>
      <c r="J10" s="6" t="inlineStr">
        <is>
          <t>Minister of Communication and Digital Affairs</t>
        </is>
      </c>
      <c r="K10" s="6" t="inlineStr">
        <is>
          <t>Ministry of Communication and Digital Affairs (Kementerian Komunikasi dan Digital, 'Komdigi')</t>
        </is>
      </c>
      <c r="L10" s="5" t="inlineStr">
        <is>
          <t>Budi Santoso</t>
        </is>
      </c>
      <c r="M10" s="6" t="inlineStr">
        <is>
          <t>Minister of Trade</t>
        </is>
      </c>
      <c r="N10" s="6" t="inlineStr">
        <is>
          <t>Ministry of Trade (Kementerian Perdagangan)</t>
        </is>
      </c>
      <c r="O10" s="14" t="inlineStr">
        <is>
          <t>Verified</t>
        </is>
      </c>
      <c r="P10" s="6" t="inlineStr">
        <is>
          <t>Trade/commerce portfolio also held by: Airlangga Hartarto (Coordinating Minister for Economic Affairs). Balance: Full-year Jan-Dec 2025 merchandise (goods-only) trade surplus of USD 41.05 billion per BPS. Exports USD 282.91B (+6.15% y/y); imports USD 241.86B (+2.83% y/y). Non-oil/gas surplus ~USD 60.72B partly offset by oil/gas deficit ~USD 19.70B. Positive value = surplus. Independently re-verified against BPS primary English press page (now returns 200, not 403 as draft claimed) and multiple secondary outl</t>
        </is>
      </c>
    </row>
    <row r="11" ht="58" customHeight="1">
      <c r="A11" s="8" t="inlineStr">
        <is>
          <t>Italy</t>
        </is>
      </c>
      <c r="B11" s="9" t="n">
        <v>2544</v>
      </c>
      <c r="C11" s="10" t="inlineStr">
        <is>
          <t>2025</t>
        </is>
      </c>
      <c r="D11" s="9" t="n">
        <v>56.8</v>
      </c>
      <c r="E11" s="9" t="n">
        <v>43.7</v>
      </c>
      <c r="F11" s="9" t="n">
        <v>78.7</v>
      </c>
      <c r="G11" s="3" t="n">
        <v>-35</v>
      </c>
      <c r="H11" s="10" t="inlineStr">
        <is>
          <t>2025</t>
        </is>
      </c>
      <c r="I11" s="11" t="inlineStr">
        <is>
          <t>Alessio Butti</t>
        </is>
      </c>
      <c r="J11" s="12" t="inlineStr">
        <is>
          <t>Undersecretary of State to the Presidency of the Council of Ministers with responsibility for Technological Innovation</t>
        </is>
      </c>
      <c r="K11" s="12" t="inlineStr">
        <is>
          <t>Presidency of the Council of Ministers (Presidenza del Consiglio dei Ministri) - Department for Digital Transformation</t>
        </is>
      </c>
      <c r="L11" s="11" t="inlineStr">
        <is>
          <t>Antonio Tajani</t>
        </is>
      </c>
      <c r="M11" s="12" t="inlineStr">
        <is>
          <t>Deputy Prime Minister (Vice President of the Council of Ministers) and Minister of Foreign Affairs and International Cooperation</t>
        </is>
      </c>
      <c r="N11" s="12" t="inlineStr">
        <is>
          <t>Ministry of Foreign Affairs and International Cooperation (Ministero degli Affari Esteri e della Cooperazione Internazionale - MAECI / 'Farnesina')</t>
        </is>
      </c>
      <c r="O11" s="14" t="inlineStr">
        <is>
          <t>Verified</t>
        </is>
      </c>
      <c r="P11" s="12" t="inlineStr">
        <is>
          <t>Trade/commerce portfolio also held by: Adolfo Urso (Minister of Enterprises and Made in Italy). Balance: Independently confirmed via ISTAT December 2025 release: Italy's full-year 2025 goods (merchandise) trade balance was a surplus of +EUR 50,746 million, up from +EUR 48,287 million in 2024; exports +3.3% and imports +3.1% y/y. The ~USD 56.8bn figure is a rate-based conversion (EUR 50.746bn x ~1.12 average 2025 EUR/USD); no official USD figure is published. The authoritative native value is EUR 50.7</t>
        </is>
      </c>
    </row>
    <row r="12" ht="58" customHeight="1">
      <c r="A12" s="2" t="inlineStr">
        <is>
          <t>Japan</t>
        </is>
      </c>
      <c r="B12" s="3" t="n">
        <v>4280</v>
      </c>
      <c r="C12" s="4" t="inlineStr">
        <is>
          <t>2025</t>
        </is>
      </c>
      <c r="D12" s="3" t="n">
        <v>-17</v>
      </c>
      <c r="E12" s="3" t="n">
        <v>82.09999999999999</v>
      </c>
      <c r="F12" s="3" t="n">
        <v>146</v>
      </c>
      <c r="G12" s="3" t="n">
        <v>-63.9</v>
      </c>
      <c r="H12" s="4" t="inlineStr">
        <is>
          <t>2025</t>
        </is>
      </c>
      <c r="I12" s="5" t="inlineStr">
        <is>
          <t>Matsumoto Hisashi</t>
        </is>
      </c>
      <c r="J12" s="6" t="inlineStr">
        <is>
          <t>Minister for Digital Transformation</t>
        </is>
      </c>
      <c r="K12" s="6" t="inlineStr">
        <is>
          <t>Digital Agency (Cabinet)</t>
        </is>
      </c>
      <c r="L12" s="5" t="inlineStr">
        <is>
          <t>Akazawa Ryosei</t>
        </is>
      </c>
      <c r="M12" s="6" t="inlineStr">
        <is>
          <t>Minister of Economy, Trade and Industry</t>
        </is>
      </c>
      <c r="N12" s="6" t="inlineStr">
        <is>
          <t>Ministry of Economy, Trade and Industry (METI)</t>
        </is>
      </c>
      <c r="O12" s="14" t="inlineStr">
        <is>
          <t>Verified</t>
        </is>
      </c>
      <c r="P12" s="6" t="inlineStr">
        <is>
          <t>Trade/commerce portfolio also held by: Motegi Toshimitsu (Minister for Foreign Affairs). Balance: Independently confirmed by two sources. AP/Yahoo Finance and Nippon.com report Japan's full-year (calendar) 2025 merchandise (customs-basis, goods-only) trade deficit at about -2.65 to -2.7 trillion yen, the fifth consecutive annual deficit and ~53% narrower than 2024. AP states this equals about $17 billion USD; the draft's conversion at the 2025 average rate (149.66 JPY/USD) yields about -18 bil</t>
        </is>
      </c>
    </row>
    <row r="13" ht="58" customHeight="1">
      <c r="A13" s="8" t="inlineStr">
        <is>
          <t>Mexico</t>
        </is>
      </c>
      <c r="B13" s="9" t="n">
        <v>1830</v>
      </c>
      <c r="C13" s="10" t="inlineStr">
        <is>
          <t>2025</t>
        </is>
      </c>
      <c r="D13" s="9" t="n">
        <v>0.8</v>
      </c>
      <c r="E13" s="9" t="n">
        <v>338</v>
      </c>
      <c r="F13" s="9" t="n">
        <v>534.9</v>
      </c>
      <c r="G13" s="3" t="n">
        <v>-196.9</v>
      </c>
      <c r="H13" s="10" t="inlineStr">
        <is>
          <t>2025</t>
        </is>
      </c>
      <c r="I13" s="11" t="inlineStr">
        <is>
          <t>José Antonio Peña Merino</t>
        </is>
      </c>
      <c r="J13" s="12" t="inlineStr">
        <is>
          <t>Head of the Agency for Digital Transformation and Telecommunications</t>
        </is>
      </c>
      <c r="K13" s="12" t="inlineStr">
        <is>
          <t>Agencia de Transformación Digital y Telecomunicaciones (ATDT) - Office of the President (State-Secretariat rank)</t>
        </is>
      </c>
      <c r="L13" s="11" t="inlineStr">
        <is>
          <t>Marcelo Luis Ebrard Casaubón</t>
        </is>
      </c>
      <c r="M13" s="12" t="inlineStr">
        <is>
          <t>Secretary of Economy</t>
        </is>
      </c>
      <c r="N13" s="12" t="inlineStr">
        <is>
          <t>Secretaría de Economía</t>
        </is>
      </c>
      <c r="O13" s="13" t="inlineStr">
        <is>
          <t>Needs check</t>
        </is>
      </c>
      <c r="P13" s="12" t="inlineStr">
        <is>
          <t xml:space="preserve">Trade/commerce portfolio also held by: Luis Rosendo Gutiérrez Romano (Undersecretary for Foreign Trade). Balance: Independently confirmed via a second source. Full-year 2025 (Jan-Dec): exports US$664.84B (+7.6%, record), imports US$664.07B (+4.4%), yielding a small merchandise trade SURPLUS of ~US$771 million. Goods-only (merchandise). Reverses four consecutive deficit years (2024 deficit ~US$18.5B); Mexico News Daily frames it as the first trade surplus since 2020. INEGI figure is preliminary and subject to </t>
        </is>
      </c>
    </row>
    <row r="14" ht="58" customHeight="1">
      <c r="A14" s="2" t="inlineStr">
        <is>
          <t>Poland</t>
        </is>
      </c>
      <c r="B14" s="3" t="n">
        <v>1040</v>
      </c>
      <c r="C14" s="4" t="inlineStr">
        <is>
          <t>2025</t>
        </is>
      </c>
      <c r="D14" s="3" t="n">
        <v>-8.699999999999999</v>
      </c>
      <c r="E14" s="3" t="n">
        <v>14.1</v>
      </c>
      <c r="F14" s="3" t="n">
        <v>14.5</v>
      </c>
      <c r="G14" s="3" t="n">
        <v>-0.4</v>
      </c>
      <c r="H14" s="4" t="inlineStr">
        <is>
          <t>2025</t>
        </is>
      </c>
      <c r="I14" s="5" t="inlineStr">
        <is>
          <t>Krzysztof Gawkowski</t>
        </is>
      </c>
      <c r="J14" s="6" t="inlineStr">
        <is>
          <t>Deputy Prime Minister and Minister of Digital Affairs</t>
        </is>
      </c>
      <c r="K14" s="6" t="inlineStr">
        <is>
          <t>Ministry of Digital Affairs (Ministerstwo Cyfryzacji)</t>
        </is>
      </c>
      <c r="L14" s="5" t="inlineStr">
        <is>
          <t>Andrzej Domański</t>
        </is>
      </c>
      <c r="M14" s="6" t="inlineStr">
        <is>
          <t>Minister of Finance and Economy</t>
        </is>
      </c>
      <c r="N14" s="6" t="inlineStr">
        <is>
          <t>Ministry of Finance and Economy (Ministerstwo Finansów i Gospodarki)</t>
        </is>
      </c>
      <c r="O14" s="13" t="inlineStr">
        <is>
          <t>Needs check</t>
        </is>
      </c>
      <c r="P14" s="6" t="inlineStr">
        <is>
          <t>Trade/commerce portfolio also held by: Michał Baranowski (Undersecretary of State (Deputy Minister) responsible for trade and economic security). Balance: Poland ran a full-year 2025 merchandise (goods) trade DEFICIT, its first in two years, reversing a 2024 surplus. PIE (Polish Economic Institute) puts the 2025 deficit at EUR 7.7 billion (exports +~4%, imports +over 6%, driven by domestic demand and rising imports from China). Converted at 2025 avg EUR/USD ~1.13 =&gt; approx -USD 8.7 bn. SOURCING CORRECTION vs draft: the EUR 7.7bn headline is PIE's fi</t>
        </is>
      </c>
    </row>
    <row r="15" ht="58" customHeight="1">
      <c r="A15" s="8" t="inlineStr">
        <is>
          <t>Russia</t>
        </is>
      </c>
      <c r="B15" s="9" t="n">
        <v>2541</v>
      </c>
      <c r="C15" s="10" t="inlineStr">
        <is>
          <t>2025</t>
        </is>
      </c>
      <c r="D15" s="9" t="n">
        <v>139.3</v>
      </c>
      <c r="E15" s="9" t="n">
        <v>0.6</v>
      </c>
      <c r="F15" s="9" t="n">
        <v>3.8</v>
      </c>
      <c r="G15" s="3" t="n">
        <v>-3.2</v>
      </c>
      <c r="H15" s="10" t="inlineStr">
        <is>
          <t>2025</t>
        </is>
      </c>
      <c r="I15" s="11" t="inlineStr">
        <is>
          <t>Maksut Shadayev</t>
        </is>
      </c>
      <c r="J15" s="12" t="inlineStr">
        <is>
          <t>Minister of Digital Development, Communications and Mass Media</t>
        </is>
      </c>
      <c r="K15" s="12" t="inlineStr">
        <is>
          <t>Ministry of Digital Development, Communications and Mass Media of the Russian Federation (Mintsifry)</t>
        </is>
      </c>
      <c r="L15" s="11" t="inlineStr">
        <is>
          <t>Anton Alikhanov</t>
        </is>
      </c>
      <c r="M15" s="12" t="inlineStr">
        <is>
          <t>Minister of Industry and Trade</t>
        </is>
      </c>
      <c r="N15" s="12" t="inlineStr">
        <is>
          <t>Ministry of Industry and Trade of the Russian Federation (Minpromtorg)</t>
        </is>
      </c>
      <c r="O15" s="14" t="inlineStr">
        <is>
          <t>Verified</t>
        </is>
      </c>
      <c r="P15" s="12" t="inlineStr">
        <is>
          <t xml:space="preserve">Trade/commerce portfolio also held by: Anton Alikhanov (Minister of Industry and Trade of the Russian Federation). Balance: Full-year 2025 merchandise (goods) trade surplus of +$139.3 billion, down 8.17% year-on-year (2024 was $151.7bn). Goods exports $418.3bn (-3.7%), goods imports $279.0bn (-1.4%), total turnover $697.3bn (-2.8%). FTS customs/goods basis, released 10 Feb 2026. Independently cross-checked against TASS (tass.com/economy/2084701) and Xinhua (english.news.cn/20260211), both citing the identical $139.3bn </t>
        </is>
      </c>
    </row>
    <row r="16" ht="58" customHeight="1">
      <c r="A16" s="2" t="inlineStr">
        <is>
          <t>Saudi Arabia</t>
        </is>
      </c>
      <c r="B16" s="3" t="n">
        <v>1277</v>
      </c>
      <c r="C16" s="4" t="inlineStr">
        <is>
          <t>2025</t>
        </is>
      </c>
      <c r="D16" s="3" t="n">
        <v>59.9</v>
      </c>
      <c r="E16" s="3" t="n">
        <v>14.1</v>
      </c>
      <c r="F16" s="3" t="n">
        <v>10.5</v>
      </c>
      <c r="G16" s="3" t="n">
        <v>3.6</v>
      </c>
      <c r="H16" s="4" t="inlineStr">
        <is>
          <t>2025</t>
        </is>
      </c>
      <c r="I16" s="5" t="inlineStr">
        <is>
          <t>Abdullah bin Amer Alswaha</t>
        </is>
      </c>
      <c r="J16" s="6" t="inlineStr">
        <is>
          <t>Minister of Communications and Information Technology</t>
        </is>
      </c>
      <c r="K16" s="6" t="inlineStr">
        <is>
          <t>Ministry of Communications and Information Technology (MCIT)</t>
        </is>
      </c>
      <c r="L16" s="5" t="inlineStr">
        <is>
          <t>Majid bin Abdullah Al-Qasabi</t>
        </is>
      </c>
      <c r="M16" s="6" t="inlineStr">
        <is>
          <t>Minister of Commerce</t>
        </is>
      </c>
      <c r="N16" s="6" t="inlineStr">
        <is>
          <t>Ministry of Commerce</t>
        </is>
      </c>
      <c r="O16" s="7" t="inlineStr">
        <is>
          <t>Vacant / acting</t>
        </is>
      </c>
      <c r="P16" s="6" t="inlineStr">
        <is>
          <t>Trade/commerce portfolio also held by: Mohammed bin Abdulaziz Al-Abduljabbar (Acting Governor, General Authority for Foreign Trade (GAFT)). Balance: INDEPENDENTLY RE-VERIFIED. Full-year 2025 merchandise (goods) trade SURPLUS is DERIVED by summing GASTAT quarterly surpluses, each now confirmed from fresh sources: Q1 2025 'surpasses SAR63bn' (+52%, SPA N2346002); Q2 2025 ~SAR43.1bn (computed from GASTAT's reported 56.2% YoY decline vs Q2 2024's SAR98.368bn); Q3 2025 SAR66.1bn (exports SAR303.3bn / imports SAR237.2bn); Q4 2025 SAR52.4bn (+26% YoY</t>
        </is>
      </c>
    </row>
    <row r="17" ht="58" customHeight="1">
      <c r="A17" s="8" t="inlineStr">
        <is>
          <t>South Korea</t>
        </is>
      </c>
      <c r="B17" s="9" t="n">
        <v>1859</v>
      </c>
      <c r="C17" s="10" t="inlineStr">
        <is>
          <t>2025</t>
        </is>
      </c>
      <c r="D17" s="9" t="n">
        <v>78</v>
      </c>
      <c r="E17" s="9" t="n">
        <v>68.8</v>
      </c>
      <c r="F17" s="9" t="n">
        <v>125.2</v>
      </c>
      <c r="G17" s="3" t="n">
        <v>-56.4</v>
      </c>
      <c r="H17" s="10" t="inlineStr">
        <is>
          <t>2025</t>
        </is>
      </c>
      <c r="I17" s="11" t="inlineStr">
        <is>
          <t>Bae Kyung-hoon</t>
        </is>
      </c>
      <c r="J17" s="12" t="inlineStr">
        <is>
          <t>Deputy Prime Minister and Minister of Science and ICT</t>
        </is>
      </c>
      <c r="K17" s="12" t="inlineStr">
        <is>
          <t>Ministry of Science and ICT (MSIT)</t>
        </is>
      </c>
      <c r="L17" s="11" t="inlineStr">
        <is>
          <t>Kim Jung-kwan</t>
        </is>
      </c>
      <c r="M17" s="12" t="inlineStr">
        <is>
          <t>Minister of Trade, Industry and Resources</t>
        </is>
      </c>
      <c r="N17" s="12" t="inlineStr">
        <is>
          <t>Ministry of Trade, Industry and Resources (MOTIR)</t>
        </is>
      </c>
      <c r="O17" s="14" t="inlineStr">
        <is>
          <t>Verified</t>
        </is>
      </c>
      <c r="P17" s="12" t="inlineStr">
        <is>
          <t>Trade/commerce portfolio also held by: Yeo Han-koo (Minister for Trade (Head of the Office of Trade Negotiations)). Balance: Independently confirmed via live search 2026-07-16. Full-year 2025 merchandise (customs-clearance) figures: exports USD 709.7bn (+3.8% y/y, first-ever above USD 700bn, record high) and imports USD 631.7bn (-0.02% y/y, essentially flat). Goods trade surplus = USD 78.0bn, up USD 26.2bn y/y. Semiconductors hit an all-time high of USD 173.4bn (+22.2%). MOTIR press release and Korea Herald ($700b miles</t>
        </is>
      </c>
    </row>
    <row r="18" ht="58" customHeight="1">
      <c r="A18" s="2" t="inlineStr">
        <is>
          <t>Türkiye</t>
        </is>
      </c>
      <c r="B18" s="3" t="n">
        <v>1565</v>
      </c>
      <c r="C18" s="4" t="inlineStr">
        <is>
          <t>2025</t>
        </is>
      </c>
      <c r="D18" s="3" t="n">
        <v>-92</v>
      </c>
      <c r="E18" s="3" t="n">
        <v>20.4</v>
      </c>
      <c r="F18" s="3" t="n">
        <v>16.4</v>
      </c>
      <c r="G18" s="3" t="n">
        <v>4</v>
      </c>
      <c r="H18" s="4" t="inlineStr">
        <is>
          <t>2025</t>
        </is>
      </c>
      <c r="I18" s="5" t="inlineStr">
        <is>
          <t>Mehmet Fatih Kacır</t>
        </is>
      </c>
      <c r="J18" s="6" t="inlineStr">
        <is>
          <t>Minister of Industry and Technology</t>
        </is>
      </c>
      <c r="K18" s="6" t="inlineStr">
        <is>
          <t>Ministry of Industry and Technology (Sanayi ve Teknoloji Bakanlığı)</t>
        </is>
      </c>
      <c r="L18" s="5" t="inlineStr">
        <is>
          <t>Ömer Bolat</t>
        </is>
      </c>
      <c r="M18" s="6" t="inlineStr">
        <is>
          <t>Minister of Trade</t>
        </is>
      </c>
      <c r="N18" s="6" t="inlineStr">
        <is>
          <t>Ministry of Trade (Ticaret Bakanlığı)</t>
        </is>
      </c>
      <c r="O18" s="14" t="inlineStr">
        <is>
          <t>Verified</t>
        </is>
      </c>
      <c r="P18" s="6" t="inlineStr">
        <is>
          <t>Digital/technology portfolio also held by: Ümit Önal (Head of the Cybersecurity Presidency); Abdulkadir Uraloğlu (Minister of Transport and Infrastructure). Balance: Independently confirmed: full-year 2025 (Jan-Dec) exports USD 273.36B (+4.4% y/y), imports USD 365.37B (+6.2% y/y), giving a goods-only (merchandise, general trade system) deficit of ~USD 92.0B, widening ~11.9% vs 2024. Verified via three independent outlets citing the same TurkStat release: Türkiye Today, Daily Sabah ('deficit expands by nearly 12%'), and TradeInt ('USD 92B deficit on record'). T</t>
        </is>
      </c>
    </row>
    <row r="19" ht="58" customHeight="1">
      <c r="A19" s="8" t="inlineStr">
        <is>
          <t>United Kingdom</t>
        </is>
      </c>
      <c r="B19" s="9" t="n">
        <v>3959</v>
      </c>
      <c r="C19" s="10" t="inlineStr">
        <is>
          <t>2025</t>
        </is>
      </c>
      <c r="D19" s="9" t="n">
        <v>-319.2</v>
      </c>
      <c r="E19" s="9" t="n">
        <v>97</v>
      </c>
      <c r="F19" s="9" t="n">
        <v>64.8</v>
      </c>
      <c r="G19" s="3" t="n">
        <v>32.2</v>
      </c>
      <c r="H19" s="10" t="inlineStr">
        <is>
          <t>2025</t>
        </is>
      </c>
      <c r="I19" s="11" t="inlineStr">
        <is>
          <t>Liz Kendall</t>
        </is>
      </c>
      <c r="J19" s="12" t="inlineStr">
        <is>
          <t>Secretary of State for Science, Innovation and Technology</t>
        </is>
      </c>
      <c r="K19" s="12" t="inlineStr">
        <is>
          <t>Department for Science, Innovation and Technology (DSIT)</t>
        </is>
      </c>
      <c r="L19" s="11" t="inlineStr">
        <is>
          <t>Peter Kyle</t>
        </is>
      </c>
      <c r="M19" s="12" t="inlineStr">
        <is>
          <t>Secretary of State for Business and Trade, and President of the Board of Trade</t>
        </is>
      </c>
      <c r="N19" s="12" t="inlineStr">
        <is>
          <t>Department for Business and Trade (DBT)</t>
        </is>
      </c>
      <c r="O19" s="14" t="inlineStr">
        <is>
          <t>Verified</t>
        </is>
      </c>
      <c r="P19" s="12" t="inlineStr">
        <is>
          <t>Digital/technology portfolio also held by: Ian Murray (Minister of State (Minister for Digital Government and Data)); Kanishka Narayan (Parliamentary Under-Secretary of State (Minister for AI and Online Safety)). Trade/commerce portfolio also held by: Chris Bryant (Minister of State (Minister for Trade Policy and Economic Security)). Balance: Independently confirmed: ONS reports a full-year 2025 trade-in-goods (merchandise) deficit of GBP 242bn, partly offset by a GBP 203bn services surplus. Goods-only used for comparability with US bilateral goods data. USD conversion uses the confirmed 2025 average GBP/USD rate of ~1.319 (x-rates/exchangerates.org.uk): 242 x 1.319 = 319.2, hence approx -USD 319.2bn. This is an analyst conversion, not</t>
        </is>
      </c>
    </row>
    <row r="20" ht="58" customHeight="1">
      <c r="A20" s="2" t="inlineStr">
        <is>
          <t>United States</t>
        </is>
      </c>
      <c r="B20" s="3" t="n">
        <v>30620</v>
      </c>
      <c r="C20" s="4" t="inlineStr">
        <is>
          <t>2025</t>
        </is>
      </c>
      <c r="D20" s="3" t="n">
        <v>-1240.9</v>
      </c>
      <c r="E20" s="5" t="inlineStr">
        <is>
          <t>N/A</t>
        </is>
      </c>
      <c r="F20" s="5" t="inlineStr">
        <is>
          <t>N/A</t>
        </is>
      </c>
      <c r="G20" s="5" t="inlineStr">
        <is>
          <t>N/A</t>
        </is>
      </c>
      <c r="H20" s="4" t="inlineStr">
        <is>
          <t>2025</t>
        </is>
      </c>
      <c r="I20" s="5" t="inlineStr">
        <is>
          <t>Michael Kratsios</t>
        </is>
      </c>
      <c r="J20" s="6" t="inlineStr">
        <is>
          <t>Director of the Office of Science and Technology Policy (OSTP) and Assistant to the President for Science and Technology</t>
        </is>
      </c>
      <c r="K20" s="6" t="inlineStr">
        <is>
          <t>Executive Office of the President / White House Office of Science and Technology Policy</t>
        </is>
      </c>
      <c r="L20" s="5" t="inlineStr">
        <is>
          <t>Howard Lutnick</t>
        </is>
      </c>
      <c r="M20" s="6" t="inlineStr">
        <is>
          <t>United States Secretary of Commerce</t>
        </is>
      </c>
      <c r="N20" s="6" t="inlineStr">
        <is>
          <t>U.S. Department of Commerce</t>
        </is>
      </c>
      <c r="O20" s="14" t="inlineStr">
        <is>
          <t>Verified</t>
        </is>
      </c>
      <c r="P20" s="6" t="inlineStr">
        <is>
          <t>Digital/technology portfolio also held by: Arielle Roth (Assistant Secretary of Commerce for Communications and Information and Administrator, National Telecommunications and Information Administration (NTIA)). Trade/commerce portfolio also held by: Jamieson Greer (United States Trade Representative (USTR), with rank of Ambassador). Balance: Independently confirmed via fresh search of the BEA/Census FT-900 'December and Annual 2025' release text: for 2025 the goods (merchandise) deficit rose $25.5B, or 2.1%, to $1,240.9 billion (nominal/current dollars). The services surplus rose $27.6B, or 8.9%, to $339.5 billion, so the combined goods-and-services deficit was $901.5 billion (decreased $2.1B, or 0.2%, from 2024). Goods-only basis kep</t>
        </is>
      </c>
    </row>
    <row r="22" ht="44" customHeight="1">
      <c r="A22" s="15" t="inlineStr">
        <is>
          <t>*Overall trade balance is goods-only except Australia (goods+services) and India (FY2025-26). GDP: IMF World Economic Outlook, October 2025 release (reference-year 2025 estimates/projections). U.S. bilateral goods trade: U. Compiled 2026-07-16. Flags: Verified / Needs check / Vacant-acting. Split portfolios: primary official shown; others in Source notes.</t>
        </is>
      </c>
    </row>
  </sheetData>
  <autoFilter ref="A1:P20"/>
  <mergeCells count="1">
    <mergeCell ref="A22:P22"/>
  </mergeCells>
  <conditionalFormatting sqref="G2:G20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2026-07-16T19:46:24Z</dcterms:created>
  <dcterms:modified xmlns:dcterms="http://purl.org/dc/terms/" xmlns:xsi="http://www.w3.org/2001/XMLSchema-instance" xsi:type="dcterms:W3CDTF">2026-07-16T19:46:24Z</dcterms:modified>
</cp:coreProperties>
</file>